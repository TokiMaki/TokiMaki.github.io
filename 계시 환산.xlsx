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j\Documents\GitHub\dnf-hell-optimizer-react\"/>
    </mc:Choice>
  </mc:AlternateContent>
  <xr:revisionPtr revIDLastSave="0" documentId="13_ncr:1_{F2520BC0-78D7-4960-928E-6658BAFC8EFD}" xr6:coauthVersionLast="47" xr6:coauthVersionMax="47" xr10:uidLastSave="{00000000-0000-0000-0000-000000000000}"/>
  <bookViews>
    <workbookView xWindow="-120" yWindow="-120" windowWidth="29040" windowHeight="15720" xr2:uid="{769C35A8-E493-4706-B4D4-CD4E84340BA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  <c r="B8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6" i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C12" i="1"/>
  <c r="D12" i="1"/>
  <c r="E12" i="1"/>
  <c r="F12" i="1"/>
  <c r="F9" i="1"/>
  <c r="E9" i="1"/>
  <c r="D9" i="1"/>
  <c r="C9" i="1"/>
  <c r="G13" i="2"/>
  <c r="F13" i="2"/>
  <c r="D13" i="2"/>
  <c r="D16" i="2" s="1"/>
  <c r="L2" i="1" s="1"/>
  <c r="F6" i="1" s="1"/>
  <c r="F10" i="1" s="1"/>
  <c r="C13" i="2"/>
  <c r="C16" i="2" s="1"/>
  <c r="K2" i="1" s="1"/>
  <c r="E6" i="1" s="1"/>
  <c r="E10" i="1" s="1"/>
  <c r="B13" i="2"/>
  <c r="B16" i="2" s="1"/>
  <c r="J2" i="1" s="1"/>
  <c r="D6" i="1" s="1"/>
  <c r="D10" i="1" s="1"/>
  <c r="G2" i="1"/>
  <c r="C6" i="1"/>
  <c r="B5" i="1"/>
  <c r="B6" i="1" s="1"/>
  <c r="F4" i="1"/>
  <c r="E4" i="1"/>
  <c r="D4" i="1"/>
  <c r="C4" i="1"/>
  <c r="B4" i="1"/>
  <c r="B10" i="1" l="1"/>
  <c r="F13" i="1"/>
  <c r="C10" i="1"/>
  <c r="B9" i="1"/>
  <c r="G24" i="1"/>
  <c r="G36" i="1"/>
  <c r="G23" i="1"/>
  <c r="G25" i="1"/>
  <c r="G37" i="1"/>
  <c r="G35" i="1"/>
  <c r="G39" i="1"/>
  <c r="G28" i="1"/>
  <c r="G29" i="1"/>
  <c r="G41" i="1"/>
  <c r="G30" i="1"/>
  <c r="G42" i="1"/>
  <c r="G31" i="1"/>
  <c r="B12" i="1"/>
  <c r="G12" i="1" s="1"/>
  <c r="C13" i="1"/>
  <c r="D13" i="1"/>
  <c r="E13" i="1"/>
  <c r="B13" i="1"/>
  <c r="G5" i="1"/>
  <c r="G6" i="1"/>
  <c r="G4" i="1"/>
  <c r="G32" i="1" l="1"/>
  <c r="G34" i="1"/>
  <c r="G10" i="1"/>
  <c r="G40" i="1"/>
  <c r="G33" i="1"/>
  <c r="G9" i="1"/>
  <c r="C18" i="1" s="1"/>
  <c r="G27" i="1"/>
  <c r="G26" i="1"/>
  <c r="G38" i="1"/>
  <c r="C19" i="1"/>
  <c r="G13" i="1"/>
</calcChain>
</file>

<file path=xl/sharedStrings.xml><?xml version="1.0" encoding="utf-8"?>
<sst xmlns="http://schemas.openxmlformats.org/spreadsheetml/2006/main" count="116" uniqueCount="81">
  <si>
    <t>레어</t>
    <phoneticPr fontId="1" type="noConversion"/>
  </si>
  <si>
    <t>유니크</t>
    <phoneticPr fontId="1" type="noConversion"/>
  </si>
  <si>
    <t>레전더리</t>
    <phoneticPr fontId="1" type="noConversion"/>
  </si>
  <si>
    <t>에픽</t>
    <phoneticPr fontId="1" type="noConversion"/>
  </si>
  <si>
    <t>태초</t>
    <phoneticPr fontId="1" type="noConversion"/>
  </si>
  <si>
    <t>종숭이확률</t>
    <phoneticPr fontId="1" type="noConversion"/>
  </si>
  <si>
    <t>소울 계시</t>
    <phoneticPr fontId="1" type="noConversion"/>
  </si>
  <si>
    <t>판당 회수 계시</t>
    <phoneticPr fontId="1" type="noConversion"/>
  </si>
  <si>
    <t>던전</t>
  </si>
  <si>
    <t>서약 결정 전설</t>
  </si>
  <si>
    <t>서약 결정 에픽</t>
  </si>
  <si>
    <t>서약 결정 태초</t>
  </si>
  <si>
    <t>서약 전설</t>
  </si>
  <si>
    <t>서약 에픽</t>
  </si>
  <si>
    <t>서약 태초</t>
  </si>
  <si>
    <t>최종 조율자</t>
  </si>
  <si>
    <t>배교자의 성</t>
  </si>
  <si>
    <t>악몽 순환</t>
  </si>
  <si>
    <t>명계의 여신전</t>
  </si>
  <si>
    <t>애쥬어호</t>
  </si>
  <si>
    <t>침월호</t>
  </si>
  <si>
    <t>빙흉길 어려움</t>
  </si>
  <si>
    <t>기준 1</t>
  </si>
  <si>
    <t>빙흉길 보통</t>
  </si>
  <si>
    <t>빙흉길 매칭</t>
  </si>
  <si>
    <t>빙흉길 솔플</t>
  </si>
  <si>
    <t>성좌영귀 대서고</t>
  </si>
  <si>
    <t>평균</t>
    <phoneticPr fontId="1" type="noConversion"/>
  </si>
  <si>
    <t>조율자 배율 회수계시</t>
    <phoneticPr fontId="1" type="noConversion"/>
  </si>
  <si>
    <t>콘텐츠</t>
  </si>
  <si>
    <t>장비 배율</t>
  </si>
  <si>
    <t>배교자</t>
  </si>
  <si>
    <t>별거북</t>
  </si>
  <si>
    <t>흉몽</t>
  </si>
  <si>
    <t>여신전</t>
  </si>
  <si>
    <t>애쥬어</t>
  </si>
  <si>
    <t>나벨 레이드</t>
  </si>
  <si>
    <t>나벨 매칭</t>
  </si>
  <si>
    <t>나벨 싱글</t>
  </si>
  <si>
    <t>베누스 2/3단계</t>
  </si>
  <si>
    <t>베누스 1단계</t>
  </si>
  <si>
    <t>아포칼립스 2단계</t>
    <phoneticPr fontId="1" type="noConversion"/>
  </si>
  <si>
    <t>아포칼립스 1단계</t>
    <phoneticPr fontId="1" type="noConversion"/>
  </si>
  <si>
    <t>아포칼립스 매칭</t>
    <phoneticPr fontId="1" type="noConversion"/>
  </si>
  <si>
    <t>조율자 배율</t>
    <phoneticPr fontId="1" type="noConversion"/>
  </si>
  <si>
    <t>한판계시</t>
    <phoneticPr fontId="1" type="noConversion"/>
  </si>
  <si>
    <t>호수</t>
    <phoneticPr fontId="1" type="noConversion"/>
  </si>
  <si>
    <t>디레 악연</t>
    <phoneticPr fontId="1" type="noConversion"/>
  </si>
  <si>
    <t>디레 보통</t>
    <phoneticPr fontId="1" type="noConversion"/>
  </si>
  <si>
    <t>디레 매칭</t>
    <phoneticPr fontId="1" type="noConversion"/>
  </si>
  <si>
    <t>디레 싱글</t>
    <phoneticPr fontId="1" type="noConversion"/>
  </si>
  <si>
    <t>이내황혼전</t>
    <phoneticPr fontId="1" type="noConversion"/>
  </si>
  <si>
    <t>비고</t>
    <phoneticPr fontId="1" type="noConversion"/>
  </si>
  <si>
    <t>계귀계시</t>
    <phoneticPr fontId="1" type="noConversion"/>
  </si>
  <si>
    <t>배율대비 조율자가 더 먹는 비율</t>
    <phoneticPr fontId="1" type="noConversion"/>
  </si>
  <si>
    <t>1+1</t>
    <phoneticPr fontId="1" type="noConversion"/>
  </si>
  <si>
    <t>조율자배율확률</t>
    <phoneticPr fontId="1" type="noConversion"/>
  </si>
  <si>
    <t>조율자헬확률</t>
    <phoneticPr fontId="1" type="noConversion"/>
  </si>
  <si>
    <t>조율자헬 회수 계시</t>
    <phoneticPr fontId="1" type="noConversion"/>
  </si>
  <si>
    <t>종숭이 소울 계시</t>
    <phoneticPr fontId="1" type="noConversion"/>
  </si>
  <si>
    <t>종숭이 회수 계시</t>
    <phoneticPr fontId="1" type="noConversion"/>
  </si>
  <si>
    <t>조율자배율 회수 계시</t>
    <phoneticPr fontId="1" type="noConversion"/>
  </si>
  <si>
    <t>교불계시</t>
    <phoneticPr fontId="1" type="noConversion"/>
  </si>
  <si>
    <t>계시:천해를 품은 하늘</t>
    <phoneticPr fontId="1" type="noConversion"/>
  </si>
  <si>
    <t>일일컨텐츠, 하루에 피로도 8*2</t>
    <phoneticPr fontId="1" type="noConversion"/>
  </si>
  <si>
    <t>등급별 결정 조각 갯수</t>
    <phoneticPr fontId="1" type="noConversion"/>
  </si>
  <si>
    <t>결정 조각 조율자 배율 개수</t>
    <phoneticPr fontId="1" type="noConversion"/>
  </si>
  <si>
    <t>결정 조각 헬 판당 개수</t>
    <phoneticPr fontId="1" type="noConversion"/>
  </si>
  <si>
    <t>레전</t>
    <phoneticPr fontId="1" type="noConversion"/>
  </si>
  <si>
    <t>소울 기댓값</t>
    <phoneticPr fontId="1" type="noConversion"/>
  </si>
  <si>
    <t>미광</t>
    <phoneticPr fontId="1" type="noConversion"/>
  </si>
  <si>
    <t>미광 개수</t>
    <phoneticPr fontId="1" type="noConversion"/>
  </si>
  <si>
    <t>레어</t>
  </si>
  <si>
    <t>유니크</t>
  </si>
  <si>
    <t>레전더리</t>
  </si>
  <si>
    <t>무끼슬 확률</t>
  </si>
  <si>
    <t>판수</t>
  </si>
  <si>
    <t>아포칼립스 3단계</t>
    <phoneticPr fontId="1" type="noConversion"/>
  </si>
  <si>
    <t>미카엘라 매칭</t>
    <phoneticPr fontId="1" type="noConversion"/>
  </si>
  <si>
    <t>미카엘라 일반</t>
    <phoneticPr fontId="1" type="noConversion"/>
  </si>
  <si>
    <t>미카엘라 하드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</si>
</sst>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%"/>
    <numFmt numFmtId="177" formatCode="0.000%"/>
    <numFmt numFmtId="178" formatCode="0.0000_ "/>
    <numFmt numFmtId="179" formatCode="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AE93-EE7B-4DFE-95DC-363F663B2163}">
  <dimension ref="A1:L42"/>
  <sheetViews>
    <sheetView tabSelected="1" workbookViewId="0">
      <selection activeCell="K12" sqref="K12"/>
    </sheetView>
  </sheetViews>
  <sheetFormatPr defaultRowHeight="16.5" x14ac:dyDescent="0.3"/>
  <cols>
    <col min="1" max="1" width="26.25" bestFit="1" customWidth="1"/>
    <col min="2" max="2" width="9.5" bestFit="1" customWidth="1"/>
    <col min="3" max="6" width="9" customWidth="1"/>
    <col min="9" max="9" width="9.5" bestFit="1" customWidth="1"/>
  </cols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2" x14ac:dyDescent="0.3">
      <c r="A2" t="s">
        <v>5</v>
      </c>
      <c r="B2" s="5">
        <v>0.25</v>
      </c>
      <c r="C2" s="5">
        <v>0.2</v>
      </c>
      <c r="D2" s="5">
        <v>3.5999999999999997E-2</v>
      </c>
      <c r="E2" s="5">
        <v>1.6E-2</v>
      </c>
      <c r="F2" s="5">
        <v>1.66E-3</v>
      </c>
      <c r="G2" s="1">
        <f>SUM(B2:F2)</f>
        <v>0.50366</v>
      </c>
      <c r="I2">
        <v>1.5</v>
      </c>
      <c r="J2">
        <f>Sheet2!B16</f>
        <v>1.5906764011500611</v>
      </c>
      <c r="K2">
        <f>Sheet2!C16</f>
        <v>1.3195683024685954</v>
      </c>
      <c r="L2">
        <f>Sheet2!D16</f>
        <v>1.6027700831024929</v>
      </c>
    </row>
    <row r="3" spans="1:12" x14ac:dyDescent="0.3">
      <c r="A3" t="s">
        <v>59</v>
      </c>
      <c r="B3">
        <v>2</v>
      </c>
      <c r="C3">
        <v>4</v>
      </c>
      <c r="D3">
        <v>30</v>
      </c>
      <c r="E3">
        <v>90</v>
      </c>
      <c r="F3">
        <v>1000</v>
      </c>
    </row>
    <row r="4" spans="1:12" x14ac:dyDescent="0.3">
      <c r="A4" t="s">
        <v>60</v>
      </c>
      <c r="B4">
        <f>B2*B3</f>
        <v>0.5</v>
      </c>
      <c r="C4">
        <f>C2*C3</f>
        <v>0.8</v>
      </c>
      <c r="D4">
        <f>D2*D3</f>
        <v>1.0799999999999998</v>
      </c>
      <c r="E4">
        <f>E2*E3</f>
        <v>1.44</v>
      </c>
      <c r="F4">
        <f>F2*F3</f>
        <v>1.66</v>
      </c>
      <c r="G4">
        <f>SUM(B4:F4)</f>
        <v>5.4799999999999995</v>
      </c>
      <c r="I4" t="s">
        <v>45</v>
      </c>
    </row>
    <row r="5" spans="1:12" x14ac:dyDescent="0.3">
      <c r="A5" t="s">
        <v>56</v>
      </c>
      <c r="B5" s="1">
        <f>B2</f>
        <v>0.25</v>
      </c>
      <c r="C5" s="1">
        <v>0.2</v>
      </c>
      <c r="D5" s="1">
        <v>3.5000000000000003E-2</v>
      </c>
      <c r="E5" s="1">
        <v>1.6E-2</v>
      </c>
      <c r="F5" s="1">
        <v>1.5E-3</v>
      </c>
      <c r="G5" s="1">
        <f>SUM(B5:F5)</f>
        <v>0.50249999999999995</v>
      </c>
      <c r="I5">
        <v>44</v>
      </c>
    </row>
    <row r="6" spans="1:12" x14ac:dyDescent="0.3">
      <c r="A6" t="s">
        <v>57</v>
      </c>
      <c r="B6" s="4">
        <f>B5</f>
        <v>0.25</v>
      </c>
      <c r="C6" s="4">
        <f>C5*I2</f>
        <v>0.30000000000000004</v>
      </c>
      <c r="D6" s="4">
        <f>D5*J2</f>
        <v>5.5673674040252148E-2</v>
      </c>
      <c r="E6" s="4">
        <f>E5*K2</f>
        <v>2.1113092839497527E-2</v>
      </c>
      <c r="F6" s="4">
        <f>F5*L2</f>
        <v>2.4041551246537394E-3</v>
      </c>
      <c r="G6" s="1">
        <f>SUM(B6:F6)</f>
        <v>0.62919092200440352</v>
      </c>
    </row>
    <row r="7" spans="1:12" x14ac:dyDescent="0.3">
      <c r="A7" t="s">
        <v>71</v>
      </c>
      <c r="B7" s="7">
        <v>1</v>
      </c>
      <c r="C7" s="7">
        <v>2</v>
      </c>
      <c r="D7" s="7">
        <v>10</v>
      </c>
      <c r="E7" s="7">
        <v>30</v>
      </c>
      <c r="F7" s="7">
        <v>100</v>
      </c>
      <c r="G7" s="1"/>
    </row>
    <row r="8" spans="1:12" x14ac:dyDescent="0.3">
      <c r="A8" t="s">
        <v>6</v>
      </c>
      <c r="B8">
        <f>B7*4</f>
        <v>4</v>
      </c>
      <c r="C8">
        <f t="shared" ref="C8:F8" si="0">C7*4</f>
        <v>8</v>
      </c>
      <c r="D8">
        <f t="shared" si="0"/>
        <v>40</v>
      </c>
      <c r="E8">
        <f t="shared" si="0"/>
        <v>120</v>
      </c>
      <c r="F8">
        <f t="shared" si="0"/>
        <v>400</v>
      </c>
    </row>
    <row r="9" spans="1:12" x14ac:dyDescent="0.3">
      <c r="A9" t="s">
        <v>61</v>
      </c>
      <c r="B9">
        <f>B5*B8</f>
        <v>1</v>
      </c>
      <c r="C9">
        <f>C5*C8</f>
        <v>1.6</v>
      </c>
      <c r="D9">
        <f>D5*D8</f>
        <v>1.4000000000000001</v>
      </c>
      <c r="E9">
        <f>E5*E8</f>
        <v>1.92</v>
      </c>
      <c r="F9">
        <f>F5*F8</f>
        <v>0.6</v>
      </c>
      <c r="G9">
        <f>SUM(B9:F9)</f>
        <v>6.52</v>
      </c>
    </row>
    <row r="10" spans="1:12" x14ac:dyDescent="0.3">
      <c r="A10" t="s">
        <v>58</v>
      </c>
      <c r="B10">
        <f>B6*B8</f>
        <v>1</v>
      </c>
      <c r="C10">
        <f>C6*C8</f>
        <v>2.4000000000000004</v>
      </c>
      <c r="D10">
        <f>D6*D8</f>
        <v>2.2269469616100861</v>
      </c>
      <c r="E10">
        <f>E6*E8</f>
        <v>2.5335711407397032</v>
      </c>
      <c r="F10">
        <f>F6*F8</f>
        <v>0.96166204986149573</v>
      </c>
      <c r="G10">
        <f>SUM(B10:F10)</f>
        <v>9.1221801522112838</v>
      </c>
    </row>
    <row r="11" spans="1:12" x14ac:dyDescent="0.3">
      <c r="A11" t="s">
        <v>65</v>
      </c>
      <c r="B11">
        <v>1</v>
      </c>
      <c r="C11">
        <v>12</v>
      </c>
      <c r="D11">
        <v>28</v>
      </c>
      <c r="E11">
        <v>50</v>
      </c>
      <c r="F11">
        <v>100</v>
      </c>
    </row>
    <row r="12" spans="1:12" x14ac:dyDescent="0.3">
      <c r="A12" t="s">
        <v>66</v>
      </c>
      <c r="B12">
        <f>B5*B11</f>
        <v>0.25</v>
      </c>
      <c r="C12">
        <f>C5*C11/12</f>
        <v>0.20000000000000004</v>
      </c>
      <c r="D12">
        <f>D5*D11/12</f>
        <v>8.1666666666666679E-2</v>
      </c>
      <c r="E12">
        <f>E5*E11/12</f>
        <v>6.6666666666666666E-2</v>
      </c>
      <c r="F12">
        <f>F5*F11/12</f>
        <v>1.2499999999999999E-2</v>
      </c>
      <c r="G12">
        <f>SUM(B12:F12)</f>
        <v>0.61083333333333334</v>
      </c>
    </row>
    <row r="13" spans="1:12" x14ac:dyDescent="0.3">
      <c r="A13" t="s">
        <v>67</v>
      </c>
      <c r="B13">
        <f>B6*B11</f>
        <v>0.25</v>
      </c>
      <c r="C13">
        <f>C6*C11/12</f>
        <v>0.30000000000000004</v>
      </c>
      <c r="D13">
        <f>D6*D11/12</f>
        <v>0.12990523942725501</v>
      </c>
      <c r="E13">
        <f>E6*E11/12</f>
        <v>8.7971220164573039E-2</v>
      </c>
      <c r="F13">
        <f>F6*F11/12</f>
        <v>2.0034626038781162E-2</v>
      </c>
      <c r="G13">
        <f>SUM(B13:F13)</f>
        <v>0.7879110856306093</v>
      </c>
    </row>
    <row r="15" spans="1:12" x14ac:dyDescent="0.3">
      <c r="B15" t="s">
        <v>72</v>
      </c>
      <c r="C15" t="s">
        <v>73</v>
      </c>
      <c r="D15" t="s">
        <v>74</v>
      </c>
    </row>
    <row r="16" spans="1:12" x14ac:dyDescent="0.3">
      <c r="A16" t="s">
        <v>75</v>
      </c>
      <c r="B16" s="1">
        <v>0.1128</v>
      </c>
      <c r="C16" s="1">
        <v>7.5899999999999995E-2</v>
      </c>
      <c r="D16" s="1">
        <v>1.41E-2</v>
      </c>
      <c r="I16" t="s">
        <v>76</v>
      </c>
    </row>
    <row r="17" spans="1:9" x14ac:dyDescent="0.3">
      <c r="I17">
        <v>6221</v>
      </c>
    </row>
    <row r="18" spans="1:9" x14ac:dyDescent="0.3">
      <c r="A18" s="8" t="s">
        <v>28</v>
      </c>
      <c r="B18" s="8"/>
      <c r="C18">
        <f>G4+G9</f>
        <v>12</v>
      </c>
      <c r="E18" s="9"/>
      <c r="F18" s="9"/>
    </row>
    <row r="19" spans="1:9" x14ac:dyDescent="0.3">
      <c r="A19" s="8" t="s">
        <v>7</v>
      </c>
      <c r="B19" s="8"/>
      <c r="C19">
        <f>G4+G10</f>
        <v>14.602180152211282</v>
      </c>
    </row>
    <row r="21" spans="1:9" x14ac:dyDescent="0.3">
      <c r="A21" t="s">
        <v>69</v>
      </c>
      <c r="B21" t="s">
        <v>0</v>
      </c>
      <c r="C21" t="s">
        <v>1</v>
      </c>
      <c r="D21" t="s">
        <v>68</v>
      </c>
      <c r="E21" t="s">
        <v>3</v>
      </c>
      <c r="F21" t="s">
        <v>4</v>
      </c>
      <c r="G21" t="s">
        <v>70</v>
      </c>
    </row>
    <row r="23" spans="1:9" x14ac:dyDescent="0.3">
      <c r="A23" s="3" t="s">
        <v>41</v>
      </c>
      <c r="B23" s="6">
        <f>Sheet3!$B6*Sheet1!B$2</f>
        <v>3</v>
      </c>
      <c r="C23" s="6">
        <f>Sheet3!$B6*Sheet1!C$2</f>
        <v>2.4000000000000004</v>
      </c>
      <c r="D23" s="6">
        <f>Sheet3!$B6*Sheet1!D$2</f>
        <v>0.43199999999999994</v>
      </c>
      <c r="E23" s="6">
        <f>Sheet3!$B6*Sheet1!E$2</f>
        <v>0.192</v>
      </c>
      <c r="F23" s="6">
        <f>Sheet3!$B6*Sheet1!F$2</f>
        <v>1.992E-2</v>
      </c>
      <c r="G23" s="6">
        <f>Sheet3!$C6*SUM($B$9:$F$9)/4</f>
        <v>27.709999999999997</v>
      </c>
    </row>
    <row r="24" spans="1:9" x14ac:dyDescent="0.3">
      <c r="A24" s="3" t="s">
        <v>42</v>
      </c>
      <c r="B24" s="6">
        <f>Sheet3!$B7*Sheet1!B$2</f>
        <v>3</v>
      </c>
      <c r="C24" s="6">
        <f>Sheet3!$B7*Sheet1!C$2</f>
        <v>2.4000000000000004</v>
      </c>
      <c r="D24" s="6">
        <f>Sheet3!$B7*Sheet1!D$2</f>
        <v>0.43199999999999994</v>
      </c>
      <c r="E24" s="6">
        <f>Sheet3!$B7*Sheet1!E$2</f>
        <v>0.192</v>
      </c>
      <c r="F24" s="6">
        <f>Sheet3!$B7*Sheet1!F$2</f>
        <v>1.992E-2</v>
      </c>
      <c r="G24" s="6">
        <f>Sheet3!$C7*SUM($B$9:$F$9)/4</f>
        <v>22.82</v>
      </c>
    </row>
    <row r="25" spans="1:9" x14ac:dyDescent="0.3">
      <c r="A25" s="3" t="s">
        <v>43</v>
      </c>
      <c r="B25" s="6">
        <f>Sheet3!$B8*Sheet1!B$2</f>
        <v>3</v>
      </c>
      <c r="C25" s="6">
        <f>Sheet3!$B8*Sheet1!C$2</f>
        <v>2.4000000000000004</v>
      </c>
      <c r="D25" s="6">
        <f>Sheet3!$B8*Sheet1!D$2</f>
        <v>0.43199999999999994</v>
      </c>
      <c r="E25" s="6">
        <f>Sheet3!$B8*Sheet1!E$2</f>
        <v>0.192</v>
      </c>
      <c r="F25" s="6">
        <f>Sheet3!$B8*Sheet1!F$2</f>
        <v>1.992E-2</v>
      </c>
      <c r="G25" s="6">
        <f>Sheet3!$C8*SUM($B$9:$F$9)/4</f>
        <v>14.669999999999998</v>
      </c>
    </row>
    <row r="26" spans="1:9" x14ac:dyDescent="0.3">
      <c r="A26" s="3" t="s">
        <v>31</v>
      </c>
      <c r="B26" s="6">
        <f>Sheet3!$B9*Sheet1!B$2</f>
        <v>3</v>
      </c>
      <c r="C26" s="6">
        <f>Sheet3!$B9*Sheet1!C$2</f>
        <v>2.4000000000000004</v>
      </c>
      <c r="D26" s="6">
        <f>Sheet3!$B9*Sheet1!D$2</f>
        <v>0.43199999999999994</v>
      </c>
      <c r="E26" s="6">
        <f>Sheet3!$B9*Sheet1!E$2</f>
        <v>0.192</v>
      </c>
      <c r="F26" s="6">
        <f>Sheet3!$B9*Sheet1!F$2</f>
        <v>1.992E-2</v>
      </c>
      <c r="G26" s="6">
        <f>Sheet3!$C9*SUM($B$9:$F$9)/4</f>
        <v>24.45</v>
      </c>
    </row>
    <row r="27" spans="1:9" x14ac:dyDescent="0.3">
      <c r="A27" s="3" t="s">
        <v>32</v>
      </c>
      <c r="B27" s="6">
        <f>Sheet3!$B10*Sheet1!B$2</f>
        <v>3</v>
      </c>
      <c r="C27" s="6">
        <f>Sheet3!$B10*Sheet1!C$2</f>
        <v>2.4000000000000004</v>
      </c>
      <c r="D27" s="6">
        <f>Sheet3!$B10*Sheet1!D$2</f>
        <v>0.43199999999999994</v>
      </c>
      <c r="E27" s="6">
        <f>Sheet3!$B10*Sheet1!E$2</f>
        <v>0.192</v>
      </c>
      <c r="F27" s="6">
        <f>Sheet3!$B10*Sheet1!F$2</f>
        <v>1.992E-2</v>
      </c>
      <c r="G27" s="6">
        <f>Sheet3!$C10*SUM($B$9:$F$9)/4</f>
        <v>19.559999999999999</v>
      </c>
    </row>
    <row r="28" spans="1:9" x14ac:dyDescent="0.3">
      <c r="A28" s="3" t="s">
        <v>33</v>
      </c>
      <c r="B28" s="6">
        <f>Sheet3!$B11*Sheet1!B$2</f>
        <v>3</v>
      </c>
      <c r="C28" s="6">
        <f>Sheet3!$B11*Sheet1!C$2</f>
        <v>2.4000000000000004</v>
      </c>
      <c r="D28" s="6">
        <f>Sheet3!$B11*Sheet1!D$2</f>
        <v>0.43199999999999994</v>
      </c>
      <c r="E28" s="6">
        <f>Sheet3!$B11*Sheet1!E$2</f>
        <v>0.192</v>
      </c>
      <c r="F28" s="6">
        <f>Sheet3!$B11*Sheet1!F$2</f>
        <v>1.992E-2</v>
      </c>
      <c r="G28" s="6">
        <f>Sheet3!$C11*SUM($B$9:$F$9)/4</f>
        <v>14.669999999999998</v>
      </c>
    </row>
    <row r="29" spans="1:9" x14ac:dyDescent="0.3">
      <c r="A29" s="3" t="s">
        <v>34</v>
      </c>
      <c r="B29" s="6">
        <f>Sheet3!$B12*Sheet1!B$2</f>
        <v>2.75</v>
      </c>
      <c r="C29" s="6">
        <f>Sheet3!$B12*Sheet1!C$2</f>
        <v>2.2000000000000002</v>
      </c>
      <c r="D29" s="6">
        <f>Sheet3!$B12*Sheet1!D$2</f>
        <v>0.39599999999999996</v>
      </c>
      <c r="E29" s="6">
        <f>Sheet3!$B12*Sheet1!E$2</f>
        <v>0.17599999999999999</v>
      </c>
      <c r="F29" s="6">
        <f>Sheet3!$B12*Sheet1!F$2</f>
        <v>1.8259999999999998E-2</v>
      </c>
      <c r="G29" s="6">
        <f>Sheet3!$C12*SUM($B$9:$F$9)/4</f>
        <v>11.41</v>
      </c>
    </row>
    <row r="30" spans="1:9" x14ac:dyDescent="0.3">
      <c r="A30" s="3" t="s">
        <v>35</v>
      </c>
      <c r="B30" s="6">
        <f>Sheet3!$B13*Sheet1!B$2</f>
        <v>2.5</v>
      </c>
      <c r="C30" s="6">
        <f>Sheet3!$B13*Sheet1!C$2</f>
        <v>2</v>
      </c>
      <c r="D30" s="6">
        <f>Sheet3!$B13*Sheet1!D$2</f>
        <v>0.36</v>
      </c>
      <c r="E30" s="6">
        <f>Sheet3!$B13*Sheet1!E$2</f>
        <v>0.16</v>
      </c>
      <c r="F30" s="6">
        <f>Sheet3!$B13*Sheet1!F$2</f>
        <v>1.66E-2</v>
      </c>
      <c r="G30" s="6">
        <f>Sheet3!$C13*SUM($B$9:$F$9)/4</f>
        <v>6.52</v>
      </c>
    </row>
    <row r="31" spans="1:9" x14ac:dyDescent="0.3">
      <c r="A31" s="3" t="s">
        <v>46</v>
      </c>
      <c r="B31" s="6">
        <f>Sheet3!$B14*Sheet1!B$2</f>
        <v>1.75</v>
      </c>
      <c r="C31" s="6">
        <f>Sheet3!$B14*Sheet1!C$2</f>
        <v>1.4000000000000001</v>
      </c>
      <c r="D31" s="6">
        <f>Sheet3!$B14*Sheet1!D$2</f>
        <v>0.252</v>
      </c>
      <c r="E31" s="6">
        <f>Sheet3!$B14*Sheet1!E$2</f>
        <v>0.112</v>
      </c>
      <c r="F31" s="6">
        <f>Sheet3!$B14*Sheet1!F$2</f>
        <v>1.162E-2</v>
      </c>
      <c r="G31" s="6">
        <f>Sheet3!$C14*SUM($B$9:$F$9)/4</f>
        <v>4.8899999999999997</v>
      </c>
    </row>
    <row r="32" spans="1:9" x14ac:dyDescent="0.3">
      <c r="A32" s="3" t="s">
        <v>47</v>
      </c>
      <c r="B32" s="6">
        <f>Sheet3!$B15*Sheet1!B$2</f>
        <v>3</v>
      </c>
      <c r="C32" s="6">
        <f>Sheet3!$B15*Sheet1!C$2</f>
        <v>2.4000000000000004</v>
      </c>
      <c r="D32" s="6">
        <f>Sheet3!$B15*Sheet1!D$2</f>
        <v>0.43199999999999994</v>
      </c>
      <c r="E32" s="6">
        <f>Sheet3!$B15*Sheet1!E$2</f>
        <v>0.192</v>
      </c>
      <c r="F32" s="6">
        <f>Sheet3!$B15*Sheet1!F$2</f>
        <v>1.992E-2</v>
      </c>
      <c r="G32" s="6">
        <f>Sheet3!$C15*SUM($B$9:$F$9)/4</f>
        <v>16.299999999999997</v>
      </c>
    </row>
    <row r="33" spans="1:7" x14ac:dyDescent="0.3">
      <c r="A33" s="3" t="s">
        <v>48</v>
      </c>
      <c r="B33" s="6">
        <f>Sheet3!$B16*Sheet1!B$2</f>
        <v>3</v>
      </c>
      <c r="C33" s="6">
        <f>Sheet3!$B16*Sheet1!C$2</f>
        <v>2.4000000000000004</v>
      </c>
      <c r="D33" s="6">
        <f>Sheet3!$B16*Sheet1!D$2</f>
        <v>0.43199999999999994</v>
      </c>
      <c r="E33" s="6">
        <f>Sheet3!$B16*Sheet1!E$2</f>
        <v>0.192</v>
      </c>
      <c r="F33" s="6">
        <f>Sheet3!$B16*Sheet1!F$2</f>
        <v>1.992E-2</v>
      </c>
      <c r="G33" s="6">
        <f>Sheet3!$C16*SUM($B$9:$F$9)/4</f>
        <v>14.669999999999998</v>
      </c>
    </row>
    <row r="34" spans="1:7" x14ac:dyDescent="0.3">
      <c r="A34" s="3" t="s">
        <v>49</v>
      </c>
      <c r="B34" s="6">
        <f>Sheet3!$B17*Sheet1!B$2</f>
        <v>2.5</v>
      </c>
      <c r="C34" s="6">
        <f>Sheet3!$B17*Sheet1!C$2</f>
        <v>2</v>
      </c>
      <c r="D34" s="6">
        <f>Sheet3!$B17*Sheet1!D$2</f>
        <v>0.36</v>
      </c>
      <c r="E34" s="6">
        <f>Sheet3!$B17*Sheet1!E$2</f>
        <v>0.16</v>
      </c>
      <c r="F34" s="6">
        <f>Sheet3!$B17*Sheet1!F$2</f>
        <v>1.66E-2</v>
      </c>
      <c r="G34" s="6">
        <f>Sheet3!$C17*SUM($B$9:$F$9)/4</f>
        <v>9.7799999999999994</v>
      </c>
    </row>
    <row r="35" spans="1:7" x14ac:dyDescent="0.3">
      <c r="A35" s="3" t="s">
        <v>50</v>
      </c>
      <c r="B35" s="6">
        <f>Sheet3!$B18*Sheet1!B$2</f>
        <v>2.25</v>
      </c>
      <c r="C35" s="6">
        <f>Sheet3!$B18*Sheet1!C$2</f>
        <v>1.8</v>
      </c>
      <c r="D35" s="6">
        <f>Sheet3!$B18*Sheet1!D$2</f>
        <v>0.32399999999999995</v>
      </c>
      <c r="E35" s="6">
        <f>Sheet3!$B18*Sheet1!E$2</f>
        <v>0.14400000000000002</v>
      </c>
      <c r="F35" s="6">
        <f>Sheet3!$B18*Sheet1!F$2</f>
        <v>1.494E-2</v>
      </c>
      <c r="G35" s="6">
        <f>Sheet3!$C18*SUM($B$9:$F$9)/4</f>
        <v>8.1499999999999986</v>
      </c>
    </row>
    <row r="36" spans="1:7" x14ac:dyDescent="0.3">
      <c r="A36" s="3" t="s">
        <v>51</v>
      </c>
      <c r="B36" s="6">
        <f>Sheet3!$B19*Sheet1!B$2</f>
        <v>3</v>
      </c>
      <c r="C36" s="6">
        <f>Sheet3!$B19*Sheet1!C$2</f>
        <v>2.4000000000000004</v>
      </c>
      <c r="D36" s="6">
        <f>Sheet3!$B19*Sheet1!D$2</f>
        <v>0.43199999999999994</v>
      </c>
      <c r="E36" s="6">
        <f>Sheet3!$B19*Sheet1!E$2</f>
        <v>0.192</v>
      </c>
      <c r="F36" s="6">
        <f>Sheet3!$B19*Sheet1!F$2</f>
        <v>1.992E-2</v>
      </c>
      <c r="G36" s="6">
        <f>Sheet3!$C19*SUM($B$9:$F$9)/4</f>
        <v>0</v>
      </c>
    </row>
    <row r="37" spans="1:7" x14ac:dyDescent="0.3">
      <c r="A37" s="3" t="s">
        <v>36</v>
      </c>
      <c r="B37" s="6">
        <f>Sheet3!$B20*Sheet1!B$2</f>
        <v>3</v>
      </c>
      <c r="C37" s="6">
        <f>Sheet3!$B20*Sheet1!C$2</f>
        <v>2.4000000000000004</v>
      </c>
      <c r="D37" s="6">
        <f>Sheet3!$B20*Sheet1!D$2</f>
        <v>0.43199999999999994</v>
      </c>
      <c r="E37" s="6">
        <f>Sheet3!$B20*Sheet1!E$2</f>
        <v>0.192</v>
      </c>
      <c r="F37" s="6">
        <f>Sheet3!$B20*Sheet1!F$2</f>
        <v>1.992E-2</v>
      </c>
      <c r="G37" s="6">
        <f>Sheet3!$C20*SUM($B$9:$F$9)/4</f>
        <v>0</v>
      </c>
    </row>
    <row r="38" spans="1:7" x14ac:dyDescent="0.3">
      <c r="A38" s="3" t="s">
        <v>37</v>
      </c>
      <c r="B38" s="6">
        <f>Sheet3!$B21*Sheet1!B$2</f>
        <v>2</v>
      </c>
      <c r="C38" s="6">
        <f>Sheet3!$B21*Sheet1!C$2</f>
        <v>1.6</v>
      </c>
      <c r="D38" s="6">
        <f>Sheet3!$B21*Sheet1!D$2</f>
        <v>0.28799999999999998</v>
      </c>
      <c r="E38" s="6">
        <f>Sheet3!$B21*Sheet1!E$2</f>
        <v>0.128</v>
      </c>
      <c r="F38" s="6">
        <f>Sheet3!$B21*Sheet1!F$2</f>
        <v>1.328E-2</v>
      </c>
      <c r="G38" s="6">
        <f>Sheet3!$C21*SUM($B$9:$F$9)/4</f>
        <v>0</v>
      </c>
    </row>
    <row r="39" spans="1:7" x14ac:dyDescent="0.3">
      <c r="A39" s="3" t="s">
        <v>38</v>
      </c>
      <c r="B39" s="6">
        <f>Sheet3!$B22*Sheet1!B$2</f>
        <v>1.75</v>
      </c>
      <c r="C39" s="6">
        <f>Sheet3!$B22*Sheet1!C$2</f>
        <v>1.4000000000000001</v>
      </c>
      <c r="D39" s="6">
        <f>Sheet3!$B22*Sheet1!D$2</f>
        <v>0.252</v>
      </c>
      <c r="E39" s="6">
        <f>Sheet3!$B22*Sheet1!E$2</f>
        <v>0.112</v>
      </c>
      <c r="F39" s="6">
        <f>Sheet3!$B22*Sheet1!F$2</f>
        <v>1.162E-2</v>
      </c>
      <c r="G39" s="6">
        <f>Sheet3!$C22*SUM($B$9:$F$9)/4</f>
        <v>0</v>
      </c>
    </row>
    <row r="40" spans="1:7" x14ac:dyDescent="0.3">
      <c r="A40" s="3" t="s">
        <v>39</v>
      </c>
      <c r="B40" s="6">
        <f>Sheet3!$B23*Sheet1!B$2</f>
        <v>2</v>
      </c>
      <c r="C40" s="6">
        <f>Sheet3!$B23*Sheet1!C$2</f>
        <v>1.6</v>
      </c>
      <c r="D40" s="6">
        <f>Sheet3!$B23*Sheet1!D$2</f>
        <v>0.28799999999999998</v>
      </c>
      <c r="E40" s="6">
        <f>Sheet3!$B23*Sheet1!E$2</f>
        <v>0.128</v>
      </c>
      <c r="F40" s="6">
        <f>Sheet3!$B23*Sheet1!F$2</f>
        <v>1.328E-2</v>
      </c>
      <c r="G40" s="6">
        <f>Sheet3!$C23*SUM($B$9:$F$9)/4</f>
        <v>0</v>
      </c>
    </row>
    <row r="41" spans="1:7" x14ac:dyDescent="0.3">
      <c r="A41" s="3" t="s">
        <v>40</v>
      </c>
      <c r="B41" s="6">
        <f>Sheet3!$B24*Sheet1!B$2</f>
        <v>1.25</v>
      </c>
      <c r="C41" s="6">
        <f>Sheet3!$B24*Sheet1!C$2</f>
        <v>1</v>
      </c>
      <c r="D41" s="6">
        <f>Sheet3!$B24*Sheet1!D$2</f>
        <v>0.18</v>
      </c>
      <c r="E41" s="6">
        <f>Sheet3!$B24*Sheet1!E$2</f>
        <v>0.08</v>
      </c>
      <c r="F41" s="6">
        <f>Sheet3!$B24*Sheet1!F$2</f>
        <v>8.3000000000000001E-3</v>
      </c>
      <c r="G41" s="6">
        <f>Sheet3!$C24*SUM($B$9:$F$9)/4</f>
        <v>0</v>
      </c>
    </row>
    <row r="42" spans="1:7" x14ac:dyDescent="0.3">
      <c r="A42" s="3" t="s">
        <v>63</v>
      </c>
      <c r="B42" s="6">
        <f>Sheet3!$B25*Sheet1!B$2</f>
        <v>3.5</v>
      </c>
      <c r="C42" s="6">
        <f>Sheet3!$B25*Sheet1!C$2</f>
        <v>2.8000000000000003</v>
      </c>
      <c r="D42" s="6">
        <f>Sheet3!$B25*Sheet1!D$2</f>
        <v>0.504</v>
      </c>
      <c r="E42" s="6">
        <f>Sheet3!$B25*Sheet1!E$2</f>
        <v>0.224</v>
      </c>
      <c r="F42" s="6">
        <f>Sheet3!$B25*Sheet1!F$2</f>
        <v>2.324E-2</v>
      </c>
      <c r="G42" s="6">
        <f>Sheet3!$C25*SUM($B$9:$F$9)/4</f>
        <v>22.82</v>
      </c>
    </row>
  </sheetData>
  <mergeCells count="3">
    <mergeCell ref="A19:B19"/>
    <mergeCell ref="A18:B18"/>
    <mergeCell ref="E18:F18"/>
  </mergeCells>
  <phoneticPr fontId="1" type="noConversion"/>
  <conditionalFormatting sqref="B24:F42 B2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{981C12EE-AF1A-4D4C-8DA7-C6203832899B}</x14:id>
        </ext>
      </extLst>
    </cfRule>
  </conditionalFormatting>
  <conditionalFormatting sqref="C23:F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{06F48B9D-DE53-4BF8-986C-3096AB01DC74}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1C12EE-AF1A-4D4C-8DA7-C620383289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B24:F42 B23</xm:sqref>
        </x14:conditionalFormatting>
        <x14:conditionalFormatting xmlns:xm="http://schemas.microsoft.com/office/excel/2006/main">
          <x14:cfRule type="dataBar" id="{06F48B9D-DE53-4BF8-986C-3096AB01DC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C23:F23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0EAA-5F80-4521-B1F8-C44A8AA4F8A9}">
  <dimension ref="A1:G16"/>
  <sheetViews>
    <sheetView workbookViewId="0">
      <selection activeCell="E2" sqref="E2"/>
    </sheetView>
  </sheetViews>
  <sheetFormatPr defaultRowHeight="16.5" x14ac:dyDescent="0.3"/>
  <sheetData>
    <row r="1" spans="1:7" ht="33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ht="33" x14ac:dyDescent="0.3">
      <c r="A2" s="3" t="s">
        <v>21</v>
      </c>
      <c r="B2" s="3">
        <v>11.452999999999999</v>
      </c>
      <c r="C2" s="3">
        <v>5.2220000000000004</v>
      </c>
      <c r="D2" s="3">
        <v>0.51400000000000001</v>
      </c>
      <c r="E2" s="3" t="s">
        <v>22</v>
      </c>
      <c r="F2" s="3">
        <v>0.502</v>
      </c>
      <c r="G2" s="3">
        <v>0.14899999999999999</v>
      </c>
    </row>
    <row r="3" spans="1:7" ht="33" x14ac:dyDescent="0.3">
      <c r="A3" s="3" t="s">
        <v>23</v>
      </c>
      <c r="B3" s="3">
        <v>11.901</v>
      </c>
      <c r="C3" s="3">
        <v>5.3010000000000002</v>
      </c>
      <c r="D3" s="3">
        <v>0.49299999999999999</v>
      </c>
      <c r="E3" s="3" t="s">
        <v>22</v>
      </c>
      <c r="F3" s="3">
        <v>0.55900000000000005</v>
      </c>
      <c r="G3" s="3">
        <v>0.14099999999999999</v>
      </c>
    </row>
    <row r="4" spans="1:7" ht="33" x14ac:dyDescent="0.3">
      <c r="A4" s="3" t="s">
        <v>24</v>
      </c>
      <c r="B4" s="3">
        <v>11.927</v>
      </c>
      <c r="C4" s="3">
        <v>5.2210000000000001</v>
      </c>
      <c r="D4" s="3">
        <v>0.51500000000000001</v>
      </c>
      <c r="E4" s="3" t="s">
        <v>22</v>
      </c>
      <c r="F4" s="3">
        <v>0.502</v>
      </c>
      <c r="G4" s="3">
        <v>0.151</v>
      </c>
    </row>
    <row r="5" spans="1:7" ht="33" x14ac:dyDescent="0.3">
      <c r="A5" s="3" t="s">
        <v>25</v>
      </c>
      <c r="B5" s="3">
        <v>12.446</v>
      </c>
      <c r="C5" s="3">
        <v>5.5540000000000003</v>
      </c>
      <c r="D5" s="3">
        <v>0.55400000000000005</v>
      </c>
      <c r="E5" s="3" t="s">
        <v>22</v>
      </c>
      <c r="F5" s="3">
        <v>0.48499999999999999</v>
      </c>
      <c r="G5" s="3">
        <v>0.16800000000000001</v>
      </c>
    </row>
    <row r="6" spans="1:7" ht="33" x14ac:dyDescent="0.3">
      <c r="A6" s="3" t="s">
        <v>16</v>
      </c>
      <c r="B6" s="3">
        <v>11.672000000000001</v>
      </c>
      <c r="C6" s="3">
        <v>5.21</v>
      </c>
      <c r="D6" s="3">
        <v>0.52900000000000003</v>
      </c>
      <c r="E6" s="3" t="s">
        <v>22</v>
      </c>
      <c r="F6" s="3">
        <v>0.54200000000000004</v>
      </c>
      <c r="G6" s="3">
        <v>0.14399999999999999</v>
      </c>
    </row>
    <row r="7" spans="1:7" ht="33" x14ac:dyDescent="0.3">
      <c r="A7" s="3" t="s">
        <v>26</v>
      </c>
      <c r="B7" s="3">
        <v>11.269</v>
      </c>
      <c r="C7" s="3">
        <v>5.077</v>
      </c>
      <c r="D7" s="3">
        <v>0.48599999999999999</v>
      </c>
      <c r="E7" s="3" t="s">
        <v>22</v>
      </c>
      <c r="F7" s="3">
        <v>0.47899999999999998</v>
      </c>
      <c r="G7" s="3">
        <v>0.13600000000000001</v>
      </c>
    </row>
    <row r="8" spans="1:7" x14ac:dyDescent="0.3">
      <c r="A8" s="3" t="s">
        <v>17</v>
      </c>
      <c r="B8" s="3">
        <v>11.51</v>
      </c>
      <c r="C8" s="3">
        <v>5.3159999999999998</v>
      </c>
      <c r="D8" s="3">
        <v>0.47199999999999998</v>
      </c>
      <c r="E8" s="3" t="s">
        <v>22</v>
      </c>
      <c r="F8" s="3">
        <v>0.497</v>
      </c>
      <c r="G8" s="3">
        <v>0.121</v>
      </c>
    </row>
    <row r="9" spans="1:7" ht="33" x14ac:dyDescent="0.3">
      <c r="A9" s="3" t="s">
        <v>18</v>
      </c>
      <c r="B9" s="3">
        <v>11.157</v>
      </c>
      <c r="C9" s="3">
        <v>4.9580000000000002</v>
      </c>
      <c r="D9" s="3">
        <v>0.42299999999999999</v>
      </c>
      <c r="E9" s="3" t="s">
        <v>22</v>
      </c>
      <c r="F9" s="3">
        <v>0.48399999999999999</v>
      </c>
      <c r="G9" s="3">
        <v>0.13200000000000001</v>
      </c>
    </row>
    <row r="10" spans="1:7" x14ac:dyDescent="0.3">
      <c r="A10" s="3" t="s">
        <v>19</v>
      </c>
      <c r="B10" s="3">
        <v>11.051</v>
      </c>
      <c r="C10" s="3">
        <v>5.1710000000000003</v>
      </c>
      <c r="D10" s="3">
        <v>0.52800000000000002</v>
      </c>
      <c r="E10" s="3" t="s">
        <v>22</v>
      </c>
      <c r="F10" s="3">
        <v>0.5</v>
      </c>
      <c r="G10" s="3">
        <v>0.125</v>
      </c>
    </row>
    <row r="11" spans="1:7" x14ac:dyDescent="0.3">
      <c r="A11" s="3" t="s">
        <v>20</v>
      </c>
      <c r="B11" s="3">
        <v>12</v>
      </c>
      <c r="C11" s="3">
        <v>4.6189999999999998</v>
      </c>
      <c r="D11" s="3">
        <v>0.38100000000000001</v>
      </c>
      <c r="E11" s="3" t="s">
        <v>22</v>
      </c>
      <c r="F11" s="3">
        <v>0.95199999999999996</v>
      </c>
      <c r="G11" s="3">
        <v>0.14299999999999999</v>
      </c>
    </row>
    <row r="12" spans="1:7" x14ac:dyDescent="0.3">
      <c r="A12" s="3" t="s">
        <v>55</v>
      </c>
      <c r="B12" s="3">
        <v>11.955</v>
      </c>
      <c r="C12" s="3">
        <v>5.4279999999999999</v>
      </c>
      <c r="D12" s="3">
        <v>0.52</v>
      </c>
      <c r="E12" s="3" t="s">
        <v>22</v>
      </c>
      <c r="F12" s="3">
        <v>0.52700000000000002</v>
      </c>
      <c r="G12" s="3">
        <v>0.13600000000000001</v>
      </c>
    </row>
    <row r="13" spans="1:7" x14ac:dyDescent="0.3">
      <c r="A13" s="3" t="s">
        <v>27</v>
      </c>
      <c r="B13">
        <f>AVERAGE(B2:B12)</f>
        <v>11.667363636363637</v>
      </c>
      <c r="C13">
        <f>AVERAGE(C2:C12)</f>
        <v>5.1888181818181813</v>
      </c>
      <c r="D13">
        <f>AVERAGE(D2:D12)</f>
        <v>0.49227272727272736</v>
      </c>
      <c r="F13">
        <f>AVERAGE(F2:F12)</f>
        <v>0.54809090909090907</v>
      </c>
      <c r="G13">
        <f>AVERAGE(G2:G12)</f>
        <v>0.14054545454545453</v>
      </c>
    </row>
    <row r="14" spans="1:7" ht="33" x14ac:dyDescent="0.3">
      <c r="A14" s="3" t="s">
        <v>15</v>
      </c>
      <c r="B14" s="3">
        <v>18.559000000000001</v>
      </c>
      <c r="C14" s="3">
        <v>6.8470000000000004</v>
      </c>
      <c r="D14" s="3">
        <v>0.78900000000000003</v>
      </c>
      <c r="E14" s="3" t="s">
        <v>22</v>
      </c>
      <c r="F14" s="3">
        <v>0.51300000000000001</v>
      </c>
      <c r="G14" s="3">
        <v>0.13700000000000001</v>
      </c>
    </row>
    <row r="16" spans="1:7" ht="66" x14ac:dyDescent="0.3">
      <c r="A16" s="3" t="s">
        <v>54</v>
      </c>
      <c r="B16">
        <f>B14/B13</f>
        <v>1.5906764011500611</v>
      </c>
      <c r="C16">
        <f>C14/C13</f>
        <v>1.3195683024685954</v>
      </c>
      <c r="D16">
        <f>D14/D13</f>
        <v>1.6027700831024929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EBE8-B217-4AE7-B116-CA52FA623D3E}">
  <dimension ref="A1:F25"/>
  <sheetViews>
    <sheetView workbookViewId="0">
      <selection activeCell="A2" sqref="A2:E4"/>
    </sheetView>
  </sheetViews>
  <sheetFormatPr defaultRowHeight="16.5" x14ac:dyDescent="0.3"/>
  <cols>
    <col min="1" max="1" width="19.25" customWidth="1"/>
    <col min="2" max="2" width="9.875" bestFit="1" customWidth="1"/>
    <col min="3" max="3" width="17.875" bestFit="1" customWidth="1"/>
    <col min="4" max="4" width="17.875" customWidth="1"/>
    <col min="5" max="5" width="9.875" bestFit="1" customWidth="1"/>
    <col min="6" max="6" width="29" bestFit="1" customWidth="1"/>
  </cols>
  <sheetData>
    <row r="1" spans="1:6" x14ac:dyDescent="0.3">
      <c r="A1" s="2" t="s">
        <v>29</v>
      </c>
      <c r="B1" s="2" t="s">
        <v>30</v>
      </c>
      <c r="C1" s="2" t="s">
        <v>44</v>
      </c>
      <c r="D1" s="2" t="s">
        <v>62</v>
      </c>
      <c r="E1" s="2" t="s">
        <v>53</v>
      </c>
      <c r="F1" s="2" t="s">
        <v>52</v>
      </c>
    </row>
    <row r="2" spans="1:6" x14ac:dyDescent="0.3">
      <c r="A2" t="s">
        <v>80</v>
      </c>
      <c r="B2">
        <v>15</v>
      </c>
      <c r="C2">
        <v>20</v>
      </c>
    </row>
    <row r="3" spans="1:6" x14ac:dyDescent="0.3">
      <c r="A3" t="s">
        <v>79</v>
      </c>
      <c r="B3">
        <v>15</v>
      </c>
      <c r="C3">
        <v>20</v>
      </c>
    </row>
    <row r="4" spans="1:6" x14ac:dyDescent="0.3">
      <c r="A4" t="s">
        <v>78</v>
      </c>
      <c r="B4">
        <v>12</v>
      </c>
      <c r="C4">
        <v>13</v>
      </c>
    </row>
    <row r="5" spans="1:6" x14ac:dyDescent="0.3">
      <c r="A5" t="s">
        <v>77</v>
      </c>
      <c r="B5">
        <v>14</v>
      </c>
      <c r="C5">
        <v>21</v>
      </c>
      <c r="E5">
        <v>280</v>
      </c>
    </row>
    <row r="6" spans="1:6" x14ac:dyDescent="0.3">
      <c r="A6" s="3" t="s">
        <v>41</v>
      </c>
      <c r="B6" s="3">
        <v>12</v>
      </c>
      <c r="C6" s="3">
        <v>17</v>
      </c>
      <c r="D6" s="3">
        <v>260</v>
      </c>
    </row>
    <row r="7" spans="1:6" x14ac:dyDescent="0.3">
      <c r="A7" s="3" t="s">
        <v>42</v>
      </c>
      <c r="B7" s="3">
        <v>12</v>
      </c>
      <c r="C7" s="3">
        <v>14</v>
      </c>
      <c r="D7" s="3">
        <v>240</v>
      </c>
    </row>
    <row r="8" spans="1:6" x14ac:dyDescent="0.3">
      <c r="A8" s="3" t="s">
        <v>43</v>
      </c>
      <c r="B8" s="3">
        <v>12</v>
      </c>
      <c r="C8" s="3">
        <v>9</v>
      </c>
      <c r="D8" s="3">
        <v>180</v>
      </c>
    </row>
    <row r="9" spans="1:6" x14ac:dyDescent="0.3">
      <c r="A9" s="3" t="s">
        <v>31</v>
      </c>
      <c r="B9" s="3">
        <v>12</v>
      </c>
      <c r="C9" s="3">
        <v>15</v>
      </c>
      <c r="D9" s="3">
        <v>240</v>
      </c>
    </row>
    <row r="10" spans="1:6" x14ac:dyDescent="0.3">
      <c r="A10" s="3" t="s">
        <v>32</v>
      </c>
      <c r="B10" s="3">
        <v>12</v>
      </c>
      <c r="C10" s="3">
        <v>12</v>
      </c>
      <c r="D10" s="3">
        <v>220</v>
      </c>
    </row>
    <row r="11" spans="1:6" x14ac:dyDescent="0.3">
      <c r="A11" s="3" t="s">
        <v>33</v>
      </c>
      <c r="B11" s="3">
        <v>12</v>
      </c>
      <c r="C11" s="3">
        <v>9</v>
      </c>
      <c r="D11" s="3">
        <v>180</v>
      </c>
    </row>
    <row r="12" spans="1:6" x14ac:dyDescent="0.3">
      <c r="A12" s="3" t="s">
        <v>34</v>
      </c>
      <c r="B12" s="3">
        <v>11</v>
      </c>
      <c r="C12" s="3">
        <v>7</v>
      </c>
      <c r="D12" s="3">
        <v>140</v>
      </c>
    </row>
    <row r="13" spans="1:6" x14ac:dyDescent="0.3">
      <c r="A13" s="3" t="s">
        <v>35</v>
      </c>
      <c r="B13" s="3">
        <v>10</v>
      </c>
      <c r="C13" s="3">
        <v>4</v>
      </c>
      <c r="D13" s="3">
        <v>100</v>
      </c>
    </row>
    <row r="14" spans="1:6" x14ac:dyDescent="0.3">
      <c r="A14" s="3" t="s">
        <v>46</v>
      </c>
      <c r="B14" s="3">
        <v>7</v>
      </c>
      <c r="C14" s="3">
        <v>3</v>
      </c>
      <c r="D14" s="3">
        <v>60</v>
      </c>
    </row>
    <row r="15" spans="1:6" x14ac:dyDescent="0.3">
      <c r="A15" s="3" t="s">
        <v>47</v>
      </c>
      <c r="B15" s="3">
        <v>12</v>
      </c>
      <c r="C15" s="3">
        <v>10</v>
      </c>
      <c r="D15" s="3"/>
      <c r="E15" s="3">
        <v>180</v>
      </c>
    </row>
    <row r="16" spans="1:6" x14ac:dyDescent="0.3">
      <c r="A16" s="3" t="s">
        <v>48</v>
      </c>
      <c r="B16" s="3">
        <v>12</v>
      </c>
      <c r="C16" s="3">
        <v>9</v>
      </c>
      <c r="D16" s="3">
        <v>180</v>
      </c>
    </row>
    <row r="17" spans="1:6" x14ac:dyDescent="0.3">
      <c r="A17" s="3" t="s">
        <v>49</v>
      </c>
      <c r="B17" s="3">
        <v>10</v>
      </c>
      <c r="C17" s="3">
        <v>6</v>
      </c>
      <c r="D17" s="3">
        <v>160</v>
      </c>
    </row>
    <row r="18" spans="1:6" x14ac:dyDescent="0.3">
      <c r="A18" s="3" t="s">
        <v>50</v>
      </c>
      <c r="B18" s="3">
        <v>9</v>
      </c>
      <c r="C18" s="3">
        <v>5</v>
      </c>
      <c r="D18" s="3">
        <v>140</v>
      </c>
    </row>
    <row r="19" spans="1:6" x14ac:dyDescent="0.3">
      <c r="A19" s="3" t="s">
        <v>51</v>
      </c>
      <c r="B19" s="3">
        <v>12</v>
      </c>
      <c r="C19" s="3">
        <v>0</v>
      </c>
      <c r="D19" s="3"/>
      <c r="E19" s="3">
        <v>180</v>
      </c>
    </row>
    <row r="20" spans="1:6" x14ac:dyDescent="0.3">
      <c r="A20" s="3" t="s">
        <v>36</v>
      </c>
      <c r="B20" s="3">
        <v>12</v>
      </c>
      <c r="C20" s="3">
        <v>0</v>
      </c>
      <c r="D20" s="3">
        <v>200</v>
      </c>
    </row>
    <row r="21" spans="1:6" x14ac:dyDescent="0.3">
      <c r="A21" s="3" t="s">
        <v>37</v>
      </c>
      <c r="B21" s="3">
        <v>8</v>
      </c>
      <c r="C21" s="3">
        <v>0</v>
      </c>
      <c r="D21" s="3">
        <v>110</v>
      </c>
    </row>
    <row r="22" spans="1:6" x14ac:dyDescent="0.3">
      <c r="A22" s="3" t="s">
        <v>38</v>
      </c>
      <c r="B22" s="3">
        <v>7</v>
      </c>
      <c r="C22" s="3">
        <v>0</v>
      </c>
      <c r="D22" s="3">
        <v>90</v>
      </c>
    </row>
    <row r="23" spans="1:6" x14ac:dyDescent="0.3">
      <c r="A23" s="3" t="s">
        <v>39</v>
      </c>
      <c r="B23" s="3">
        <v>8</v>
      </c>
      <c r="C23" s="3">
        <v>0</v>
      </c>
      <c r="D23" s="3">
        <v>100</v>
      </c>
    </row>
    <row r="24" spans="1:6" x14ac:dyDescent="0.3">
      <c r="A24" s="3" t="s">
        <v>40</v>
      </c>
      <c r="B24" s="3">
        <v>5</v>
      </c>
      <c r="C24" s="3">
        <v>0</v>
      </c>
      <c r="D24" s="3">
        <v>60</v>
      </c>
    </row>
    <row r="25" spans="1:6" x14ac:dyDescent="0.3">
      <c r="A25" s="3" t="s">
        <v>63</v>
      </c>
      <c r="B25" s="3">
        <v>14</v>
      </c>
      <c r="C25" s="3">
        <v>14</v>
      </c>
      <c r="D25">
        <v>345</v>
      </c>
      <c r="F25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양현석(2017182021)</dc:creator>
  <cp:lastModifiedBy>양현석(2017182021)</cp:lastModifiedBy>
  <dcterms:created xsi:type="dcterms:W3CDTF">2026-04-20T05:58:53Z</dcterms:created>
  <dcterms:modified xsi:type="dcterms:W3CDTF">2026-08-21T14:41:26Z</dcterms:modified>
</cp:coreProperties>
</file>