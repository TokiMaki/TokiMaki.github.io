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stj\Documents\GitHub\dnf-hell-optimizer-react\Docs\"/>
    </mc:Choice>
  </mc:AlternateContent>
  <xr:revisionPtr revIDLastSave="0" documentId="13_ncr:1_{568F0BB0-3D92-48CC-B347-D65F5A47F3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서약 세트 단계" sheetId="1" r:id="rId1"/>
    <sheet name="서약의 가호" sheetId="2" r:id="rId2"/>
    <sheet name="서약 등급별 최종데미지" sheetId="6" r:id="rId3"/>
    <sheet name="입력 규칙" sheetId="3" r:id="rId4"/>
    <sheet name="역산 기준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<sst xmlns="http://schemas.openxmlformats.org/spreadsheetml/2006/main" count="117" uniqueCount="87">
  <si>
    <t>세트단계</t>
  </si>
  <si>
    <t>최종데미지증가(%)</t>
  </si>
  <si>
    <t>메모</t>
  </si>
  <si>
    <t>레어 I</t>
  </si>
  <si>
    <t>레어 II</t>
  </si>
  <si>
    <t>레어 III</t>
  </si>
  <si>
    <t>레어 IV</t>
  </si>
  <si>
    <t>레어 V</t>
  </si>
  <si>
    <t>유니크 I</t>
  </si>
  <si>
    <t>유니크 II</t>
  </si>
  <si>
    <t>유니크 III</t>
  </si>
  <si>
    <t>유니크 IV</t>
  </si>
  <si>
    <t>유니크 V</t>
  </si>
  <si>
    <t>레전더리 I</t>
  </si>
  <si>
    <t>레전더리 II</t>
  </si>
  <si>
    <t>레전더리 III</t>
  </si>
  <si>
    <t>레전더리 IV</t>
  </si>
  <si>
    <t>레전더리 V</t>
  </si>
  <si>
    <t>에픽 I</t>
  </si>
  <si>
    <t>에픽 II</t>
  </si>
  <si>
    <t>에픽 III</t>
  </si>
  <si>
    <t>에픽 IV</t>
  </si>
  <si>
    <t>에픽 V</t>
  </si>
  <si>
    <t>가호 단계/이름</t>
  </si>
  <si>
    <t>스킬쿨타임감소(%)</t>
  </si>
  <si>
    <t>버프력</t>
  </si>
  <si>
    <t>스킬범위(%)</t>
  </si>
  <si>
    <t>명성</t>
  </si>
  <si>
    <t>입력 규칙</t>
  </si>
  <si>
    <t>퍼센트 값은 % 기호 없이 숫자만 입력한다.</t>
  </si>
  <si>
    <t>공식 API 값이 391.1%라면 391.1로 입력한다.</t>
  </si>
  <si>
    <t>같은 세트단계에서 세트명이 달라도 값이 같으면 표본 캐릭터/세트명만 추가 기록한다.</t>
  </si>
  <si>
    <t>세트단계별 값이 확정되면 장비점수 계산에서는 세트 설명문을 해석하지 않고 이 표의 최종데미지증가 값을 사용한다.</t>
  </si>
  <si>
    <t>API 위치</t>
  </si>
  <si>
    <t>서약 세트 단계: oath.setInfo.setRarityName + oath.setInfo.active.status</t>
  </si>
  <si>
    <t>서약 세트 포인트: oath.setInfo.active.setPoint</t>
  </si>
  <si>
    <t>서약의 가호: oath.blessing.status</t>
  </si>
  <si>
    <t>레어</t>
    <phoneticPr fontId="2" type="noConversion"/>
  </si>
  <si>
    <t>유니크</t>
    <phoneticPr fontId="2" type="noConversion"/>
  </si>
  <si>
    <t>레전더리</t>
    <phoneticPr fontId="2" type="noConversion"/>
  </si>
  <si>
    <t>에픽</t>
    <phoneticPr fontId="2" type="noConversion"/>
  </si>
  <si>
    <t>태초</t>
    <phoneticPr fontId="2" type="noConversion"/>
  </si>
  <si>
    <t>서약 포인트</t>
    <phoneticPr fontId="2" type="noConversion"/>
  </si>
  <si>
    <t>기준 캐릭터</t>
    <phoneticPr fontId="2" type="noConversion"/>
  </si>
  <si>
    <t>마키로그</t>
    <phoneticPr fontId="2" type="noConversion"/>
  </si>
  <si>
    <t>변경 후 세트포인트</t>
    <phoneticPr fontId="2" type="noConversion"/>
  </si>
  <si>
    <t>변경 후 장비점수</t>
    <phoneticPr fontId="2" type="noConversion"/>
  </si>
  <si>
    <t>기준 장비점수</t>
    <phoneticPr fontId="2" type="noConversion"/>
  </si>
  <si>
    <t>기준 서약 포인트</t>
    <phoneticPr fontId="2" type="noConversion"/>
  </si>
  <si>
    <t>항목</t>
  </si>
  <si>
    <t>값</t>
  </si>
  <si>
    <t>기준 장비점수</t>
  </si>
  <si>
    <t>변경 전 공식 장비점수</t>
  </si>
  <si>
    <t>기준 서약포인트</t>
  </si>
  <si>
    <t>변경 전 oath.setInfo.active.setPoint.current</t>
  </si>
  <si>
    <t>기준 레어 결정 개수</t>
  </si>
  <si>
    <t>변경 전 레어 결정 개수</t>
  </si>
  <si>
    <t>기준 유니크 결정 개수</t>
  </si>
  <si>
    <t>변경 전 유니크 결정 개수</t>
  </si>
  <si>
    <t>기준 레전더리 결정 개수</t>
  </si>
  <si>
    <t>변경 전 레전더리 결정 개수</t>
  </si>
  <si>
    <t>기준 에픽 결정 개수</t>
  </si>
  <si>
    <t>변경 전 에픽 결정 개수</t>
  </si>
  <si>
    <t>기준 태초 결정 개수</t>
  </si>
  <si>
    <t>변경 전 태초 결정 개수</t>
  </si>
  <si>
    <t>기준 세트단계</t>
  </si>
  <si>
    <t>예: 에픽 V</t>
  </si>
  <si>
    <t>기준 세트 최종데미지(%)</t>
  </si>
  <si>
    <t>알고 있으면 입력, 모르면 비워둠</t>
  </si>
  <si>
    <t>기준 기타 전후비</t>
  </si>
  <si>
    <t>세트 외 옵션 변화가 없으면 1</t>
  </si>
  <si>
    <t>유니크 결정</t>
    <phoneticPr fontId="2" type="noConversion"/>
  </si>
  <si>
    <t>레전 결정</t>
    <phoneticPr fontId="2" type="noConversion"/>
  </si>
  <si>
    <t>에픽 결정</t>
    <phoneticPr fontId="2" type="noConversion"/>
  </si>
  <si>
    <t>태초 결정</t>
    <phoneticPr fontId="2" type="noConversion"/>
  </si>
  <si>
    <t>유니크</t>
    <phoneticPr fontId="2" type="noConversion"/>
  </si>
  <si>
    <t>레전</t>
    <phoneticPr fontId="2" type="noConversion"/>
  </si>
  <si>
    <t>에픽</t>
    <phoneticPr fontId="2" type="noConversion"/>
  </si>
  <si>
    <t>태초</t>
    <phoneticPr fontId="2" type="noConversion"/>
  </si>
  <si>
    <t>서약 등급</t>
    <phoneticPr fontId="2" type="noConversion"/>
  </si>
  <si>
    <t>서약 등급</t>
    <phoneticPr fontId="2" type="noConversion"/>
  </si>
  <si>
    <t>스텟(힘지체정)</t>
    <phoneticPr fontId="2" type="noConversion"/>
  </si>
  <si>
    <t>레전더리</t>
    <phoneticPr fontId="2" type="noConversion"/>
  </si>
  <si>
    <t>레어 결정</t>
    <phoneticPr fontId="2" type="noConversion"/>
  </si>
  <si>
    <t>레어</t>
    <phoneticPr fontId="2" type="noConversion"/>
  </si>
  <si>
    <t>누적 증가량</t>
    <phoneticPr fontId="2" type="noConversion"/>
  </si>
  <si>
    <t>단계 증가량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</si>
</sst>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b/>
      <sz val="11"/>
      <name val="Calibri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EAF2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3" fillId="0" borderId="0" xfId="0" applyFont="1"/>
    <xf numFmtId="0" fontId="4" fillId="2" borderId="0" xfId="0" applyFon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14ac xr xr2 xr3" xr:uid="{00000000-0001-0000-0000-000000000000}">
  <dimension ref="A1:P27"/>
  <sheetViews>
    <sheetView tabSelected="1" workbookViewId="0">
      <pane ySplit="1" topLeftCell="A2" activePane="bottomLeft" state="frozen"/>
      <selection pane="bottomLeft" activeCell="J20" sqref="J20"/>
    </sheetView>
  </sheetViews>
  <sheetFormatPr defaultRowHeight="15"/>
  <cols>
    <col min="1" max="1" width="16" customWidth="1"/>
    <col min="2" max="2" width="24.85546875" bestFit="1" customWidth="1"/>
    <col min="3" max="3" width="24.140625" bestFit="1" customWidth="1"/>
    <col min="4" max="4" width="13.7109375" bestFit="1" customWidth="1"/>
    <col min="5" max="5" width="13.7109375" customWidth="1"/>
    <col min="6" max="9" width="15.7109375" customWidth="1"/>
    <col min="10" max="11" width="21.85546875" bestFit="1" customWidth="1"/>
    <col min="11" max="16" width="18" customWidth="1"/>
  </cols>
  <sheetData>
    <row r="1" spans="1:11" ht="16.5">
      <c r="A1" s="1" t="s">
        <v>0</v>
      </c>
      <c r="B1" s="3" t="s">
        <v>46</v>
      </c>
      <c r="C1" s="3" t="s">
        <v>45</v>
      </c>
      <c r="D1" s="3" t="s">
        <v>79</v>
      </c>
      <c r="E1" s="3" t="s">
        <v>83</v>
      </c>
      <c r="F1" s="3" t="s">
        <v>71</v>
      </c>
      <c r="G1" s="3" t="s">
        <v>72</v>
      </c>
      <c r="H1" s="3" t="s">
        <v>73</v>
      </c>
      <c r="I1" s="3" t="s">
        <v>74</v>
      </c>
      <c r="J1" s="3" t="s">
        <v>86</v>
      </c>
      <c r="K1" s="3" t="inlineStr">
        <is>
          <t>단계 증가량(%)</t>
        </is>
      </c>
      <c r="L1" t="inlineStr" s="3">
        <is>
          <t>누적 증가량(%)</t>
        </is>
      </c>
      <c r="M1" t="inlineStr" s="3">
        <is>
          <t>결정배율</t>
        </is>
      </c>
      <c r="N1" t="inlineStr" s="3">
        <is>
          <t>서약등급배율</t>
        </is>
      </c>
      <c r="O1" t="inlineStr" s="3">
        <is>
          <t>가호최종뎀배율</t>
        </is>
      </c>
      <c r="P1" t="inlineStr" s="3">
        <is>
          <t>보정점수</t>
        </is>
      </c>
    </row>
    <row r="2" spans="1:11" ht="16.5">
      <c r="A2" t="s">
        <v>3</v>
      </c>
      <c r="B2">
        <v>7439</v>
      </c>
      <c r="C2">
        <v>760</v>
      </c>
      <c r="D2" s="2" t="s">
        <v>75</v>
      </c>
      <c r="E2">
        <v>11</v>
      </c>
      <c r="K2">
        <f>0</f>
        <v>0</v>
      </c>
      <c r="L2">
        <f>(P2/$P$2-1)*100</f>
        <v>0</v>
      </c>
      <c r="M2">
        <f>POWER(1.13,N(E2))*POWER(1.17,N(F2))*POWER(1.2,N(G2))*POWER(1.23,N(H2))*POWER(1.26,N(I2))</f>
        <v>3.83586115061</v>
      </c>
      <c r="N2">
        <f>SWITCH(D2,"유니크",1.38,"레전더리",1.44,"에픽",1.5,"태초",1.57,1)</f>
        <v>1.38</v>
      </c>
      <c r="O2">
        <f>1+(SWITCH(TRUE,C2&gt;=2550,62+INT((C2-2550)/25)*0.5,C2&gt;=2100,50+INT((C2-2100)/25)*0.5,C2&gt;=1650,39+INT((C2-1650)/25)*0.5,C2&gt;=1200,28+INT((C2-1200)/25)*0.5,C2&gt;=750,17+INT((C2-750)/25)*0.5,0))/100</f>
        <v>1.17</v>
      </c>
      <c r="P2">
        <f>B2/M2/N2/O2</f>
        <v>1201.12092297</v>
      </c>
    </row>
    <row r="3" spans="1:11" ht="16.5">
      <c r="A3" t="s">
        <v>4</v>
      </c>
      <c r="B3">
        <v>7534</v>
      </c>
      <c r="C3">
        <v>830</v>
      </c>
      <c r="D3" s="2" t="s">
        <v>75</v>
      </c>
      <c r="E3">
        <v>11</v>
      </c>
      <c r="K3">
        <f>(P3/P2-1)*100</f>
        <v>-0.00493464992062</v>
      </c>
      <c r="L3">
        <f>(P3/$P$2-1)*100</f>
        <v>-0.00493464992062</v>
      </c>
      <c r="M3">
        <f>POWER(1.13,N(E3))*POWER(1.17,N(F3))*POWER(1.2,N(G3))*POWER(1.23,N(H3))*POWER(1.26,N(I3))</f>
        <v>3.83586115061</v>
      </c>
      <c r="N3">
        <f>SWITCH(D3,"유니크",1.38,"레전더리",1.44,"에픽",1.5,"태초",1.57,1)</f>
        <v>1.38</v>
      </c>
      <c r="O3">
        <f>1+(SWITCH(TRUE,C3&gt;=2550,62+INT((C3-2550)/25)*0.5,C3&gt;=2100,50+INT((C3-2100)/25)*0.5,C3&gt;=1650,39+INT((C3-1650)/25)*0.5,C3&gt;=1200,28+INT((C3-1200)/25)*0.5,C3&gt;=750,17+INT((C3-750)/25)*0.5,0))/100</f>
        <v>1.185</v>
      </c>
      <c r="P3">
        <f>B3/M3/N3/O3</f>
        <v>1201.06165185</v>
      </c>
    </row>
    <row r="4" spans="1:11" ht="16.5">
      <c r="A4" t="s">
        <v>5</v>
      </c>
      <c r="B4">
        <v>7630</v>
      </c>
      <c r="C4">
        <v>910</v>
      </c>
      <c r="D4" s="2" t="s">
        <v>75</v>
      </c>
      <c r="E4">
        <v>11</v>
      </c>
      <c r="K4">
        <f>(P4/P3-1)*100</f>
        <v>0.00829572604195</v>
      </c>
      <c r="L4">
        <f>(P4/$P$2-1)*100</f>
        <v>0.00336066675628</v>
      </c>
      <c r="M4">
        <f>POWER(1.13,N(E4))*POWER(1.17,N(F4))*POWER(1.2,N(G4))*POWER(1.23,N(H4))*POWER(1.26,N(I4))</f>
        <v>3.83586115061</v>
      </c>
      <c r="N4">
        <f>SWITCH(D4,"유니크",1.38,"레전더리",1.44,"에픽",1.5,"태초",1.57,1)</f>
        <v>1.38</v>
      </c>
      <c r="O4">
        <f>1+(SWITCH(TRUE,C4&gt;=2550,62+INT((C4-2550)/25)*0.5,C4&gt;=2100,50+INT((C4-2100)/25)*0.5,C4&gt;=1650,39+INT((C4-1650)/25)*0.5,C4&gt;=1200,28+INT((C4-1200)/25)*0.5,C4&gt;=750,17+INT((C4-750)/25)*0.5,0))/100</f>
        <v>1.2</v>
      </c>
      <c r="P4">
        <f>B4/M4/N4/O4</f>
        <v>1201.16128864</v>
      </c>
    </row>
    <row r="5" spans="1:11" ht="16.5">
      <c r="A5" t="s">
        <v>6</v>
      </c>
      <c r="B5">
        <v>7725</v>
      </c>
      <c r="C5">
        <v>990</v>
      </c>
      <c r="D5" s="2" t="s">
        <v>75</v>
      </c>
      <c r="E5">
        <v>11</v>
      </c>
      <c r="K5">
        <f>(P5/P4-1)*100</f>
        <v>-0.00485413329451</v>
      </c>
      <c r="L5">
        <f>(P5/$P$2-1)*100</f>
        <v>-0.00149362966946</v>
      </c>
      <c r="M5">
        <f>POWER(1.13,N(E5))*POWER(1.17,N(F5))*POWER(1.2,N(G5))*POWER(1.23,N(H5))*POWER(1.26,N(I5))</f>
        <v>3.83586115061</v>
      </c>
      <c r="N5">
        <f>SWITCH(D5,"유니크",1.38,"레전더리",1.44,"에픽",1.5,"태초",1.57,1)</f>
        <v>1.38</v>
      </c>
      <c r="O5">
        <f>1+(SWITCH(TRUE,C5&gt;=2550,62+INT((C5-2550)/25)*0.5,C5&gt;=2100,50+INT((C5-2100)/25)*0.5,C5&gt;=1650,39+INT((C5-1650)/25)*0.5,C5&gt;=1200,28+INT((C5-1200)/25)*0.5,C5&gt;=750,17+INT((C5-750)/25)*0.5,0))/100</f>
        <v>1.215</v>
      </c>
      <c r="P5">
        <f>B5/M5/N5/O5</f>
        <v>1201.10298267</v>
      </c>
    </row>
    <row r="6" spans="1:11" ht="16.5">
      <c r="A6" t="s">
        <v>7</v>
      </c>
      <c r="B6">
        <v>7820</v>
      </c>
      <c r="C6">
        <v>1070</v>
      </c>
      <c r="D6" s="2" t="s">
        <v>75</v>
      </c>
      <c r="E6">
        <v>11</v>
      </c>
      <c r="K6">
        <f>(P6/P5-1)*100</f>
        <v>-0.00473596968978</v>
      </c>
      <c r="L6">
        <f>(P6/$P$2-1)*100</f>
        <v>-0.00622952862139</v>
      </c>
      <c r="M6">
        <f>POWER(1.13,N(E6))*POWER(1.17,N(F6))*POWER(1.2,N(G6))*POWER(1.23,N(H6))*POWER(1.26,N(I6))</f>
        <v>3.83586115061</v>
      </c>
      <c r="N6">
        <f>SWITCH(D6,"유니크",1.38,"레전더리",1.44,"에픽",1.5,"태초",1.57,1)</f>
        <v>1.38</v>
      </c>
      <c r="O6">
        <f>1+(SWITCH(TRUE,C6&gt;=2550,62+INT((C6-2550)/25)*0.5,C6&gt;=2100,50+INT((C6-2100)/25)*0.5,C6&gt;=1650,39+INT((C6-1650)/25)*0.5,C6&gt;=1200,28+INT((C6-1200)/25)*0.5,C6&gt;=750,17+INT((C6-750)/25)*0.5,0))/100</f>
        <v>1.23</v>
      </c>
      <c r="P6">
        <f>B6/M6/N6/O6</f>
        <v>1201.04609879</v>
      </c>
    </row>
    <row r="7" spans="1:11" ht="16.5">
      <c r="A7" t="s">
        <v>8</v>
      </c>
      <c r="B7">
        <v>16477</v>
      </c>
      <c r="C7">
        <v>1200</v>
      </c>
      <c r="D7" s="2" t="s">
        <v>75</v>
      </c>
      <c r="F7">
        <v>11</v>
      </c>
      <c r="K7">
        <f>(P7/P6-1)*100</f>
        <v>38.0972179489</v>
      </c>
      <c r="L7">
        <f>(P7/$P$2-1)*100</f>
        <v>38.0886151431</v>
      </c>
      <c r="M7">
        <f>POWER(1.13,N(E7))*POWER(1.17,N(F7))*POWER(1.2,N(G7))*POWER(1.23,N(H7))*POWER(1.26,N(I7))</f>
        <v>5.62398921542</v>
      </c>
      <c r="N7">
        <f>SWITCH(D7,"유니크",1.38,"레전더리",1.44,"에픽",1.5,"태초",1.57,1)</f>
        <v>1.38</v>
      </c>
      <c r="O7">
        <f>1+(SWITCH(TRUE,C7&gt;=2550,62+INT((C7-2550)/25)*0.5,C7&gt;=2100,50+INT((C7-2100)/25)*0.5,C7&gt;=1650,39+INT((C7-1650)/25)*0.5,C7&gt;=1200,28+INT((C7-1200)/25)*0.5,C7&gt;=750,17+INT((C7-750)/25)*0.5,0))/100</f>
        <v>1.28</v>
      </c>
      <c r="P7">
        <f>B7/M7/N7/O7</f>
        <v>1658.61124872</v>
      </c>
    </row>
    <row r="8" spans="1:11" ht="16.5">
      <c r="A8" t="s">
        <v>9</v>
      </c>
      <c r="B8">
        <v>20179</v>
      </c>
      <c r="C8">
        <v>1290</v>
      </c>
      <c r="D8" s="2" t="s">
        <v>82</v>
      </c>
      <c r="E8" s="2"/>
      <c r="F8">
        <v>11</v>
      </c>
      <c r="K8">
        <f>(P8/P7-1)*100</f>
        <v>16.0054235735</v>
      </c>
      <c r="L8">
        <f>(P8/$P$2-1)*100</f>
        <v>60.1902829036</v>
      </c>
      <c r="M8">
        <f>POWER(1.13,N(E8))*POWER(1.17,N(F8))*POWER(1.2,N(G8))*POWER(1.23,N(H8))*POWER(1.26,N(I8))</f>
        <v>5.62398921542</v>
      </c>
      <c r="N8">
        <f>SWITCH(D8,"유니크",1.38,"레전더리",1.44,"에픽",1.5,"태초",1.57,1)</f>
        <v>1.44</v>
      </c>
      <c r="O8">
        <f>1+(SWITCH(TRUE,C8&gt;=2550,62+INT((C8-2550)/25)*0.5,C8&gt;=2100,50+INT((C8-2100)/25)*0.5,C8&gt;=1650,39+INT((C8-1650)/25)*0.5,C8&gt;=1200,28+INT((C8-1200)/25)*0.5,C8&gt;=750,17+INT((C8-750)/25)*0.5,0))/100</f>
        <v>1.295</v>
      </c>
      <c r="P8">
        <f>B8/M8/N8/O8</f>
        <v>1924.07900451</v>
      </c>
    </row>
    <row r="9" spans="1:11" ht="16.5">
      <c r="A9" t="s">
        <v>10</v>
      </c>
      <c r="B9">
        <v>23235</v>
      </c>
      <c r="C9">
        <v>1370</v>
      </c>
      <c r="D9" s="2" t="s">
        <v>82</v>
      </c>
      <c r="E9" s="2"/>
      <c r="F9">
        <v>11</v>
      </c>
      <c r="K9">
        <f>(P9/P8-1)*100</f>
        <v>13.8260091267</v>
      </c>
      <c r="L9">
        <f>(P9/$P$2-1)*100</f>
        <v>82.338206038</v>
      </c>
      <c r="M9">
        <f>POWER(1.13,N(E9))*POWER(1.17,N(F9))*POWER(1.2,N(G9))*POWER(1.23,N(H9))*POWER(1.26,N(I9))</f>
        <v>5.62398921542</v>
      </c>
      <c r="N9">
        <f>SWITCH(D9,"유니크",1.38,"레전더리",1.44,"에픽",1.5,"태초",1.57,1)</f>
        <v>1.44</v>
      </c>
      <c r="O9">
        <f>1+(SWITCH(TRUE,C9&gt;=2550,62+INT((C9-2550)/25)*0.5,C9&gt;=2100,50+INT((C9-2100)/25)*0.5,C9&gt;=1650,39+INT((C9-1650)/25)*0.5,C9&gt;=1200,28+INT((C9-1200)/25)*0.5,C9&gt;=750,17+INT((C9-750)/25)*0.5,0))/100</f>
        <v>1.31</v>
      </c>
      <c r="P9">
        <f>B9/M9/N9/O9</f>
        <v>2190.10234328</v>
      </c>
    </row>
    <row r="10" spans="1:11" ht="16.5">
      <c r="A10" t="s">
        <v>11</v>
      </c>
      <c r="B10">
        <v>26448</v>
      </c>
      <c r="C10">
        <v>1460</v>
      </c>
      <c r="D10" s="2" t="s">
        <v>82</v>
      </c>
      <c r="E10" s="2"/>
      <c r="F10">
        <v>11</v>
      </c>
      <c r="K10">
        <f>(P10/P9-1)*100</f>
        <v>12.1165729042</v>
      </c>
      <c r="L10">
        <f>(P10/$P$2-1)*100</f>
        <v>104.431347705</v>
      </c>
      <c r="M10">
        <f>POWER(1.13,N(E10))*POWER(1.17,N(F10))*POWER(1.2,N(G10))*POWER(1.23,N(H10))*POWER(1.26,N(I10))</f>
        <v>5.62398921542</v>
      </c>
      <c r="N10">
        <f>SWITCH(D10,"유니크",1.38,"레전더리",1.44,"에픽",1.5,"태초",1.57,1)</f>
        <v>1.44</v>
      </c>
      <c r="O10">
        <f>1+(SWITCH(TRUE,C10&gt;=2550,62+INT((C10-2550)/25)*0.5,C10&gt;=2100,50+INT((C10-2100)/25)*0.5,C10&gt;=1650,39+INT((C10-1650)/25)*0.5,C10&gt;=1200,28+INT((C10-1200)/25)*0.5,C10&gt;=750,17+INT((C10-750)/25)*0.5,0))/100</f>
        <v>1.33</v>
      </c>
      <c r="P10">
        <f>B10/M10/N10/O10</f>
        <v>2455.46769038</v>
      </c>
    </row>
    <row r="11" spans="1:11" ht="16.5">
      <c r="A11" t="s">
        <v>12</v>
      </c>
      <c r="B11">
        <v>29626</v>
      </c>
      <c r="C11">
        <v>1540</v>
      </c>
      <c r="D11" s="2" t="s">
        <v>82</v>
      </c>
      <c r="E11" s="2"/>
      <c r="F11">
        <v>11</v>
      </c>
      <c r="K11">
        <f>(P11/P10-1)*100</f>
        <v>10.7667820365</v>
      </c>
      <c r="L11">
        <f>(P11/$P$2-1)*100</f>
        <v>126.442025326</v>
      </c>
      <c r="M11">
        <f>POWER(1.13,N(E11))*POWER(1.17,N(F11))*POWER(1.2,N(G11))*POWER(1.23,N(H11))*POWER(1.26,N(I11))</f>
        <v>5.62398921542</v>
      </c>
      <c r="N11">
        <f>SWITCH(D11,"유니크",1.38,"레전더리",1.44,"에픽",1.5,"태초",1.57,1)</f>
        <v>1.44</v>
      </c>
      <c r="O11">
        <f>1+(SWITCH(TRUE,C11&gt;=2550,62+INT((C11-2550)/25)*0.5,C11&gt;=2100,50+INT((C11-2100)/25)*0.5,C11&gt;=1650,39+INT((C11-1650)/25)*0.5,C11&gt;=1200,28+INT((C11-1200)/25)*0.5,C11&gt;=750,17+INT((C11-750)/25)*0.5,0))/100</f>
        <v>1.345</v>
      </c>
      <c r="P11">
        <f>B11/M11/N11/O11</f>
        <v>2719.84254458</v>
      </c>
    </row>
    <row r="12" spans="1:11" ht="16.5">
      <c r="A12" t="s">
        <v>13</v>
      </c>
      <c r="B12">
        <v>38681</v>
      </c>
      <c r="C12">
        <v>1650</v>
      </c>
      <c r="D12" s="2" t="s">
        <v>82</v>
      </c>
      <c r="F12">
        <v>8</v>
      </c>
      <c r="G12">
        <v>3</v>
      </c>
      <c r="K12">
        <f>(P12/P11-1)*100</f>
        <v>17.0970639402</v>
      </c>
      <c r="L12">
        <f>(P12/$P$2-1)*100</f>
        <v>165.156963184</v>
      </c>
      <c r="M12">
        <f>POWER(1.13,N(E12))*POWER(1.17,N(F12))*POWER(1.2,N(G12))*POWER(1.23,N(H12))*POWER(1.26,N(I12))</f>
        <v>6.06779126059</v>
      </c>
      <c r="N12">
        <f>SWITCH(D12,"유니크",1.38,"레전더리",1.44,"에픽",1.5,"태초",1.57,1)</f>
        <v>1.44</v>
      </c>
      <c r="O12">
        <f>1+(SWITCH(TRUE,C12&gt;=2550,62+INT((C12-2550)/25)*0.5,C12&gt;=2100,50+INT((C12-2100)/25)*0.5,C12&gt;=1650,39+INT((C12-1650)/25)*0.5,C12&gt;=1200,28+INT((C12-1200)/25)*0.5,C12&gt;=750,17+INT((C12-750)/25)*0.5,0))/100</f>
        <v>1.39</v>
      </c>
      <c r="P12">
        <f>B12/M12/N12/O12</f>
        <v>3184.85576351</v>
      </c>
    </row>
    <row r="13" spans="1:11" ht="16.5">
      <c r="A13" t="s">
        <v>14</v>
      </c>
      <c r="B13">
        <v>52879</v>
      </c>
      <c r="C13">
        <v>1740</v>
      </c>
      <c r="D13" s="2" t="s">
        <v>82</v>
      </c>
      <c r="G13">
        <v>11</v>
      </c>
      <c r="K13">
        <f>(P13/P12-1)*100</f>
        <v>10.4487848162</v>
      </c>
      <c r="L13">
        <f>(P13/$P$2-1)*100</f>
        <v>192.862643692</v>
      </c>
      <c r="M13">
        <f>POWER(1.13,N(E13))*POWER(1.17,N(F13))*POWER(1.2,N(G13))*POWER(1.23,N(H13))*POWER(1.26,N(I13))</f>
        <v>7.43008370688</v>
      </c>
      <c r="N13">
        <f>SWITCH(D13,"유니크",1.38,"레전더리",1.44,"에픽",1.5,"태초",1.57,1)</f>
        <v>1.44</v>
      </c>
      <c r="O13">
        <f>1+(SWITCH(TRUE,C13&gt;=2550,62+INT((C13-2550)/25)*0.5,C13&gt;=2100,50+INT((C13-2100)/25)*0.5,C13&gt;=1650,39+INT((C13-1650)/25)*0.5,C13&gt;=1200,28+INT((C13-1200)/25)*0.5,C13&gt;=750,17+INT((C13-750)/25)*0.5,0))/100</f>
        <v>1.405</v>
      </c>
      <c r="P13">
        <f>B13/M13/N13/O13</f>
        <v>3517.63448894</v>
      </c>
    </row>
    <row r="14" spans="1:11" ht="16.5">
      <c r="A14" t="s">
        <v>15</v>
      </c>
      <c r="B14">
        <v>58464</v>
      </c>
      <c r="C14">
        <v>1820</v>
      </c>
      <c r="D14" s="2" t="s">
        <v>82</v>
      </c>
      <c r="G14">
        <v>11</v>
      </c>
      <c r="K14">
        <f>(P14/P13-1)*100</f>
        <v>9.39394189605</v>
      </c>
      <c r="L14">
        <f>(P14/$P$2-1)*100</f>
        <v>220.373990276</v>
      </c>
      <c r="M14">
        <f>POWER(1.13,N(E14))*POWER(1.17,N(F14))*POWER(1.2,N(G14))*POWER(1.23,N(H14))*POWER(1.26,N(I14))</f>
        <v>7.43008370688</v>
      </c>
      <c r="N14">
        <f>SWITCH(D14,"유니크",1.38,"레전더리",1.44,"에픽",1.5,"태초",1.57,1)</f>
        <v>1.44</v>
      </c>
      <c r="O14">
        <f>1+(SWITCH(TRUE,C14&gt;=2550,62+INT((C14-2550)/25)*0.5,C14&gt;=2100,50+INT((C14-2100)/25)*0.5,C14&gt;=1650,39+INT((C14-1650)/25)*0.5,C14&gt;=1200,28+INT((C14-1200)/25)*0.5,C14&gt;=750,17+INT((C14-750)/25)*0.5,0))/100</f>
        <v>1.42</v>
      </c>
      <c r="P14">
        <f>B14/M14/N14/O14</f>
        <v>3848.07902895</v>
      </c>
    </row>
    <row r="15" spans="1:11" ht="16.5">
      <c r="A15" t="s">
        <v>16</v>
      </c>
      <c r="B15">
        <v>64395</v>
      </c>
      <c r="C15">
        <v>1910</v>
      </c>
      <c r="D15" s="2" t="s">
        <v>82</v>
      </c>
      <c r="G15">
        <v>11</v>
      </c>
      <c r="K15">
        <f>(P15/P14-1)*100</f>
        <v>8.61491687192</v>
      </c>
      <c r="L15">
        <f>(P15/$P$2-1)*100</f>
        <v>247.973943218</v>
      </c>
      <c r="M15">
        <f>POWER(1.13,N(E15))*POWER(1.17,N(F15))*POWER(1.2,N(G15))*POWER(1.23,N(H15))*POWER(1.26,N(I15))</f>
        <v>7.43008370688</v>
      </c>
      <c r="N15">
        <f>SWITCH(D15,"유니크",1.38,"레전더리",1.44,"에픽",1.5,"태초",1.57,1)</f>
        <v>1.44</v>
      </c>
      <c r="O15">
        <f>1+(SWITCH(TRUE,C15&gt;=2550,62+INT((C15-2550)/25)*0.5,C15&gt;=2100,50+INT((C15-2100)/25)*0.5,C15&gt;=1650,39+INT((C15-1650)/25)*0.5,C15&gt;=1200,28+INT((C15-1200)/25)*0.5,C15&gt;=750,17+INT((C15-750)/25)*0.5,0))/100</f>
        <v>1.44</v>
      </c>
      <c r="P15">
        <f>B15/M15/N15/O15</f>
        <v>4179.58783846</v>
      </c>
    </row>
    <row r="16" spans="1:11" ht="16.5">
      <c r="A16" t="s">
        <v>17</v>
      </c>
      <c r="B16">
        <v>70249</v>
      </c>
      <c r="C16">
        <v>1990</v>
      </c>
      <c r="D16" s="2" t="s">
        <v>82</v>
      </c>
      <c r="G16">
        <v>11</v>
      </c>
      <c r="K16">
        <f>(P16/P15-1)*100</f>
        <v>7.96612082484</v>
      </c>
      <c r="L16">
        <f>(P16/$P$2-1)*100</f>
        <v>275.693967973</v>
      </c>
      <c r="M16">
        <f>POWER(1.13,N(E16))*POWER(1.17,N(F16))*POWER(1.2,N(G16))*POWER(1.23,N(H16))*POWER(1.26,N(I16))</f>
        <v>7.43008370688</v>
      </c>
      <c r="N16">
        <f>SWITCH(D16,"유니크",1.38,"레전더리",1.44,"에픽",1.5,"태초",1.57,1)</f>
        <v>1.44</v>
      </c>
      <c r="O16">
        <f>1+(SWITCH(TRUE,C16&gt;=2550,62+INT((C16-2550)/25)*0.5,C16&gt;=2100,50+INT((C16-2100)/25)*0.5,C16&gt;=1650,39+INT((C16-1650)/25)*0.5,C16&gt;=1200,28+INT((C16-1200)/25)*0.5,C16&gt;=750,17+INT((C16-750)/25)*0.5,0))/100</f>
        <v>1.455</v>
      </c>
      <c r="P16">
        <f>B16/M16/N16/O16</f>
        <v>4512.53885565</v>
      </c>
    </row>
    <row r="17" spans="1:9" ht="16.5">
      <c r="A17" t="s">
        <v>18</v>
      </c>
      <c r="B17">
        <v>91713</v>
      </c>
      <c r="C17">
        <v>2100</v>
      </c>
      <c r="D17" s="2" t="s">
        <v>82</v>
      </c>
      <c r="G17">
        <v>7</v>
      </c>
      <c r="H17">
        <v>4</v>
      </c>
      <c r="K17">
        <f>(P17/P16-1)*100</f>
        <v>14.7273668549</v>
      </c>
      <c r="L17">
        <f>(P17/$P$2-1)*100</f>
        <v>331.023796889</v>
      </c>
      <c r="M17">
        <f>POWER(1.13,N(E17))*POWER(1.17,N(F17))*POWER(1.2,N(G17))*POWER(1.23,N(H17))*POWER(1.26,N(I17))</f>
        <v>8.20142217408</v>
      </c>
      <c r="N17">
        <f>SWITCH(D17,"유니크",1.38,"레전더리",1.44,"에픽",1.5,"태초",1.57,1)</f>
        <v>1.44</v>
      </c>
      <c r="O17">
        <f>1+(SWITCH(TRUE,C17&gt;=2550,62+INT((C17-2550)/25)*0.5,C17&gt;=2100,50+INT((C17-2100)/25)*0.5,C17&gt;=1650,39+INT((C17-1650)/25)*0.5,C17&gt;=1200,28+INT((C17-1200)/25)*0.5,C17&gt;=750,17+INT((C17-750)/25)*0.5,0))/100</f>
        <v>1.5</v>
      </c>
      <c r="P17">
        <f>B17/M17/N17/O17</f>
        <v>5177.11700739</v>
      </c>
    </row>
    <row r="18" spans="1:9" ht="16.5">
      <c r="A18" t="s">
        <v>19</v>
      </c>
      <c r="B18">
        <v>119877</v>
      </c>
      <c r="C18">
        <v>2190</v>
      </c>
      <c r="D18" s="2" t="s">
        <v>82</v>
      </c>
      <c r="G18">
        <v>1</v>
      </c>
      <c r="H18">
        <v>9</v>
      </c>
      <c r="I18">
        <v>1</v>
      </c>
      <c r="K18">
        <f>(P18/P17-1)*100</f>
        <v>8.93688842647</v>
      </c>
      <c r="L18">
        <f>(P18/$P$2-1)*100</f>
        <v>369.543912708</v>
      </c>
      <c r="M18">
        <f>POWER(1.13,N(E18))*POWER(1.17,N(F18))*POWER(1.2,N(G18))*POWER(1.23,N(H18))*POWER(1.26,N(I18))</f>
        <v>9.74311422539</v>
      </c>
      <c r="N18">
        <f>SWITCH(D18,"유니크",1.38,"레전더리",1.44,"에픽",1.5,"태초",1.57,1)</f>
        <v>1.44</v>
      </c>
      <c r="O18">
        <f>1+(SWITCH(TRUE,C18&gt;=2550,62+INT((C18-2550)/25)*0.5,C18&gt;=2100,50+INT((C18-2100)/25)*0.5,C18&gt;=1650,39+INT((C18-1650)/25)*0.5,C18&gt;=1200,28+INT((C18-1200)/25)*0.5,C18&gt;=750,17+INT((C18-750)/25)*0.5,0))/100</f>
        <v>1.515</v>
      </c>
      <c r="P18">
        <f>B18/M18/N18/O18</f>
        <v>5639.79017805</v>
      </c>
    </row>
    <row r="19" spans="1:9" ht="16.5">
      <c r="A19" t="s">
        <v>20</v>
      </c>
      <c r="B19">
        <v>134344</v>
      </c>
      <c r="C19">
        <v>2270</v>
      </c>
      <c r="D19" s="2" t="s">
        <v>82</v>
      </c>
      <c r="H19">
        <v>10</v>
      </c>
      <c r="I19">
        <v>1</v>
      </c>
      <c r="K19">
        <f>(P19/P18-1)*100</f>
        <v>8.26292230901</v>
      </c>
      <c r="L19">
        <f>(P19/$P$2-1)*100</f>
        <v>408.341961422</v>
      </c>
      <c r="M19">
        <f>POWER(1.13,N(E19))*POWER(1.17,N(F19))*POWER(1.2,N(G19))*POWER(1.23,N(H19))*POWER(1.26,N(I19))</f>
        <v>9.98669208103</v>
      </c>
      <c r="N19">
        <f>SWITCH(D19,"유니크",1.38,"레전더리",1.44,"에픽",1.5,"태초",1.57,1)</f>
        <v>1.44</v>
      </c>
      <c r="O19">
        <f>1+(SWITCH(TRUE,C19&gt;=2550,62+INT((C19-2550)/25)*0.5,C19&gt;=2100,50+INT((C19-2100)/25)*0.5,C19&gt;=1650,39+INT((C19-1650)/25)*0.5,C19&gt;=1200,28+INT((C19-1200)/25)*0.5,C19&gt;=750,17+INT((C19-750)/25)*0.5,0))/100</f>
        <v>1.53</v>
      </c>
      <c r="P19">
        <f>B19/M19/N19/O19</f>
        <v>6105.80165886</v>
      </c>
    </row>
    <row r="20" spans="1:9" ht="16.5">
      <c r="A20" t="s">
        <v>21</v>
      </c>
      <c r="B20">
        <v>146448</v>
      </c>
      <c r="C20">
        <v>2360</v>
      </c>
      <c r="D20" s="2" t="s">
        <v>82</v>
      </c>
      <c r="H20">
        <v>10</v>
      </c>
      <c r="I20">
        <v>1</v>
      </c>
      <c r="K20">
        <f>(P20/P19-1)*100</f>
        <v>7.6031295682</v>
      </c>
      <c r="L20">
        <f>(P20/$P$2-1)*100</f>
        <v>446.991859398</v>
      </c>
      <c r="M20">
        <f>POWER(1.13,N(E20))*POWER(1.17,N(F20))*POWER(1.2,N(G20))*POWER(1.23,N(H20))*POWER(1.26,N(I20))</f>
        <v>9.98669208103</v>
      </c>
      <c r="N20">
        <f>SWITCH(D20,"유니크",1.38,"레전더리",1.44,"에픽",1.5,"태초",1.57,1)</f>
        <v>1.44</v>
      </c>
      <c r="O20">
        <f>1+(SWITCH(TRUE,C20&gt;=2550,62+INT((C20-2550)/25)*0.5,C20&gt;=2100,50+INT((C20-2100)/25)*0.5,C20&gt;=1650,39+INT((C20-1650)/25)*0.5,C20&gt;=1200,28+INT((C20-1200)/25)*0.5,C20&gt;=750,17+INT((C20-750)/25)*0.5,0))/100</f>
        <v>1.55</v>
      </c>
      <c r="P20">
        <f>B20/M20/N20/O20</f>
        <v>6570.03367015</v>
      </c>
    </row>
    <row r="21" spans="1:9" ht="16.5">
      <c r="A21" t="s">
        <v>22</v>
      </c>
      <c r="B21">
        <v>158269</v>
      </c>
      <c r="C21">
        <v>2440</v>
      </c>
      <c r="D21" s="2" t="s">
        <v>82</v>
      </c>
      <c r="H21">
        <v>10</v>
      </c>
      <c r="I21">
        <v>1</v>
      </c>
      <c r="K21">
        <f>(P21/P20-1)*100</f>
        <v>7.03597504127</v>
      </c>
      <c r="L21">
        <f>(P21/$P$2-1)*100</f>
        <v>485.478070103</v>
      </c>
      <c r="M21">
        <f>POWER(1.13,N(E21))*POWER(1.17,N(F21))*POWER(1.2,N(G21))*POWER(1.23,N(H21))*POWER(1.26,N(I21))</f>
        <v>9.98669208103</v>
      </c>
      <c r="N21">
        <f>SWITCH(D21,"유니크",1.38,"레전더리",1.44,"에픽",1.5,"태초",1.57,1)</f>
        <v>1.44</v>
      </c>
      <c r="O21">
        <f>1+(SWITCH(TRUE,C21&gt;=2550,62+INT((C21-2550)/25)*0.5,C21&gt;=2100,50+INT((C21-2100)/25)*0.5,C21&gt;=1650,39+INT((C21-1650)/25)*0.5,C21&gt;=1200,28+INT((C21-1200)/25)*0.5,C21&gt;=750,17+INT((C21-750)/25)*0.5,0))/100</f>
        <v>1.565</v>
      </c>
      <c r="P21">
        <f>B21/M21/N21/O21</f>
        <v>7032.29959939</v>
      </c>
    </row>
    <row r="22" spans="1:9" ht="16.5">
      <c r="A22" s="2" t="s">
        <v>78</v>
      </c>
      <c r="B22">
        <v>193306</v>
      </c>
      <c r="C22">
        <v>2550</v>
      </c>
      <c r="D22" s="2" t="s">
        <v>77</v>
      </c>
      <c r="H22">
        <v>10</v>
      </c>
      <c r="I22">
        <v>1</v>
      </c>
      <c r="K22">
        <f>(P22/P21-1)*100</f>
        <v>13.2713394893</v>
      </c>
      <c r="L22">
        <f>(P22/$P$2-1)*100</f>
        <v>563.178852422</v>
      </c>
      <c r="M22">
        <f>POWER(1.13,N(E22))*POWER(1.17,N(F22))*POWER(1.2,N(G22))*POWER(1.23,N(H22))*POWER(1.26,N(I22))</f>
        <v>9.98669208103</v>
      </c>
      <c r="N22">
        <f>SWITCH(D22,"유니크",1.38,"레전더리",1.44,"에픽",1.5,"태초",1.57,1)</f>
        <v>1.5</v>
      </c>
      <c r="O22">
        <f>1+(SWITCH(TRUE,C22&gt;=2550,62+INT((C22-2550)/25)*0.5,C22&gt;=2100,50+INT((C22-2100)/25)*0.5,C22&gt;=1650,39+INT((C22-1650)/25)*0.5,C22&gt;=1200,28+INT((C22-1200)/25)*0.5,C22&gt;=750,17+INT((C22-750)/25)*0.5,0))/100</f>
        <v>1.62</v>
      </c>
      <c r="P22">
        <f>B22/M22/N22/O22</f>
        <v>7965.57995313</v>
      </c>
    </row>
    <row r="24" spans="1:9" ht="16.5">
      <c r="A24" s="2" t="s">
        <v>43</v>
      </c>
      <c r="B24" s="2" t="s">
        <v>47</v>
      </c>
      <c r="C24" s="2" t="s">
        <v>48</v>
      </c>
      <c r="D24" s="2" t="s">
        <v>79</v>
      </c>
      <c r="E24" s="2" t="s">
        <v>84</v>
      </c>
      <c r="F24" s="2" t="s">
        <v>75</v>
      </c>
      <c r="G24" s="2" t="s">
        <v>76</v>
      </c>
      <c r="H24" s="2" t="s">
        <v>77</v>
      </c>
      <c r="I24" s="2" t="s">
        <v>78</v>
      </c>
    </row>
    <row r="25" spans="1:9" ht="16.5">
      <c r="A25" s="2" t="s">
        <v>44</v>
      </c>
      <c r="B25">
        <v>158269</v>
      </c>
      <c r="C25">
        <v>2440</v>
      </c>
      <c r="D25" s="2" t="s">
        <v>82</v>
      </c>
      <c r="E25" s="2">
        <v>0</v>
      </c>
      <c r="F25">
        <v>0</v>
      </c>
      <c r="G25">
        <v>0</v>
      </c>
      <c r="H25">
        <v>10</v>
      </c>
      <c r="I25">
        <v>1</v>
      </c>
    </row>
    <row r="27" spans="1:9" ht="16.5">
      <c r="A27" s="2"/>
    </row>
  </sheetData>
  <autoFilter ref="A1:I22" xr:uid="{00000000-0009-0000-0000-000000000000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>
      <pane ySplit="1" topLeftCell="A2" activePane="bottomLeft" state="frozen"/>
      <selection pane="bottomLeft" activeCell="B3" sqref="B3"/>
    </sheetView>
  </sheetViews>
  <sheetFormatPr defaultRowHeight="15"/>
  <cols>
    <col min="1" max="4" width="18" customWidth="1"/>
    <col min="5" max="6" width="12" customWidth="1"/>
    <col min="7" max="7" width="10" customWidth="1"/>
    <col min="8" max="8" width="24" customWidth="1"/>
  </cols>
  <sheetData>
    <row r="1" spans="1:8" ht="16.5">
      <c r="A1" s="1" t="s">
        <v>23</v>
      </c>
      <c r="B1" s="3" t="s">
        <v>42</v>
      </c>
      <c r="C1" s="1" t="s">
        <v>1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</v>
      </c>
    </row>
    <row r="2" spans="1:8" ht="16.5">
      <c r="A2" s="2" t="s">
        <v>37</v>
      </c>
      <c r="B2" s="2">
        <v>750</v>
      </c>
      <c r="C2">
        <v>17</v>
      </c>
      <c r="D2">
        <v>0</v>
      </c>
      <c r="E2">
        <v>3300</v>
      </c>
      <c r="F2">
        <v>0</v>
      </c>
      <c r="G2">
        <v>1650</v>
      </c>
    </row>
    <row r="3" spans="1:8" ht="16.5">
      <c r="A3" s="2" t="s">
        <v>38</v>
      </c>
      <c r="B3" s="2">
        <v>1200</v>
      </c>
      <c r="C3">
        <v>28</v>
      </c>
      <c r="D3">
        <v>18.5</v>
      </c>
      <c r="E3">
        <v>5060</v>
      </c>
      <c r="F3">
        <v>15</v>
      </c>
      <c r="G3">
        <v>2530</v>
      </c>
    </row>
    <row r="4" spans="1:8" ht="16.5">
      <c r="A4" s="2" t="s">
        <v>39</v>
      </c>
      <c r="B4" s="2">
        <v>1650</v>
      </c>
      <c r="C4">
        <v>39</v>
      </c>
      <c r="D4">
        <v>18.5</v>
      </c>
      <c r="E4">
        <v>6720</v>
      </c>
      <c r="F4">
        <v>15</v>
      </c>
      <c r="G4">
        <v>3360</v>
      </c>
    </row>
    <row r="5" spans="1:8" ht="16.5">
      <c r="A5" s="2" t="s">
        <v>40</v>
      </c>
      <c r="B5" s="2">
        <v>2100</v>
      </c>
      <c r="C5">
        <v>50</v>
      </c>
      <c r="D5">
        <v>18.5</v>
      </c>
      <c r="E5">
        <v>8210</v>
      </c>
      <c r="F5">
        <v>15</v>
      </c>
      <c r="G5">
        <v>4105</v>
      </c>
    </row>
    <row r="6" spans="1:8" ht="16.5">
      <c r="A6" s="2" t="s">
        <v>41</v>
      </c>
      <c r="B6" s="2">
        <v>2550</v>
      </c>
      <c r="C6">
        <v>62</v>
      </c>
      <c r="D6">
        <v>18.5</v>
      </c>
      <c r="E6">
        <v>9700</v>
      </c>
      <c r="F6">
        <v>15</v>
      </c>
      <c r="G6">
        <v>4850</v>
      </c>
    </row>
  </sheetData>
  <autoFilter ref="A1:H6" xr:uid="{00000000-0009-0000-0000-000001000000}"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34AC3-A0D8-4862-8683-2FBAF8ABF1C3}">
  <dimension ref="A1:D5"/>
  <sheetViews>
    <sheetView workbookViewId="0">
      <selection activeCell="K16" sqref="K16"/>
    </sheetView>
  </sheetViews>
  <sheetFormatPr defaultRowHeight="15"/>
  <cols>
    <col min="1" max="1" width="16.5703125" bestFit="1" customWidth="1"/>
    <col min="2" max="2" width="20.85546875" bestFit="1" customWidth="1"/>
    <col min="3" max="3" width="17" bestFit="1" customWidth="1"/>
    <col min="4" max="4" width="6" bestFit="1" customWidth="1"/>
  </cols>
  <sheetData>
    <row r="1" spans="1:4" ht="16.5">
      <c r="A1" s="3" t="s">
        <v>80</v>
      </c>
      <c r="B1" s="1" t="s">
        <v>1</v>
      </c>
      <c r="C1" s="3" t="s">
        <v>81</v>
      </c>
      <c r="D1" s="1" t="s">
        <v>27</v>
      </c>
    </row>
    <row r="2" spans="1:4" ht="16.5">
      <c r="A2" s="2" t="s">
        <v>38</v>
      </c>
      <c r="B2">
        <v>38</v>
      </c>
      <c r="C2">
        <v>298</v>
      </c>
      <c r="D2">
        <v>5015</v>
      </c>
    </row>
    <row r="3" spans="1:4" ht="16.5">
      <c r="A3" s="2" t="s">
        <v>39</v>
      </c>
      <c r="B3">
        <v>44</v>
      </c>
      <c r="C3">
        <v>350</v>
      </c>
      <c r="D3">
        <v>5455</v>
      </c>
    </row>
    <row r="4" spans="1:4" ht="16.5">
      <c r="A4" s="2" t="s">
        <v>40</v>
      </c>
      <c r="B4">
        <v>50</v>
      </c>
      <c r="C4">
        <v>400</v>
      </c>
      <c r="D4">
        <v>5875</v>
      </c>
    </row>
    <row r="5" spans="1:4" ht="16.5">
      <c r="A5" s="2" t="s">
        <v>41</v>
      </c>
      <c r="B5">
        <v>57</v>
      </c>
      <c r="C5">
        <v>450</v>
      </c>
      <c r="D5">
        <v>6315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"/>
  <sheetViews>
    <sheetView workbookViewId="0"/>
  </sheetViews>
  <sheetFormatPr defaultRowHeight="15"/>
  <cols>
    <col min="1" max="1" width="90" customWidth="1"/>
  </cols>
  <sheetData>
    <row r="1" spans="1:1">
      <c r="A1" s="1" t="s">
        <v>28</v>
      </c>
    </row>
    <row r="2" spans="1:1">
      <c r="A2" t="s">
        <v>29</v>
      </c>
    </row>
    <row r="3" spans="1:1">
      <c r="A3" t="s">
        <v>30</v>
      </c>
    </row>
    <row r="4" spans="1:1">
      <c r="A4" t="s">
        <v>31</v>
      </c>
    </row>
    <row r="5" spans="1:1">
      <c r="A5" t="s">
        <v>32</v>
      </c>
    </row>
    <row r="7" spans="1:1">
      <c r="A7" s="1" t="s">
        <v>33</v>
      </c>
    </row>
    <row r="8" spans="1:1">
      <c r="A8" t="s">
        <v>34</v>
      </c>
    </row>
    <row r="9" spans="1:1">
      <c r="A9" t="s">
        <v>35</v>
      </c>
    </row>
    <row r="10" spans="1:1">
      <c r="A10" t="s">
        <v>36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>
      <pane ySplit="1" topLeftCell="A2" activePane="bottomLeft" state="frozen"/>
      <selection pane="bottomLeft"/>
    </sheetView>
  </sheetViews>
  <sheetFormatPr defaultRowHeight="16.5"/>
  <cols>
    <col min="1" max="1" width="24" customWidth="1"/>
    <col min="2" max="2" width="18" customWidth="1"/>
    <col min="3" max="3" width="48" customWidth="1"/>
  </cols>
  <sheetData>
    <row r="1" spans="1:3" ht="15">
      <c r="A1" s="1" t="s">
        <v>49</v>
      </c>
      <c r="B1" s="1" t="s">
        <v>50</v>
      </c>
      <c r="C1" s="1" t="s">
        <v>2</v>
      </c>
    </row>
    <row r="2" spans="1:3" ht="15">
      <c r="A2" t="s">
        <v>51</v>
      </c>
      <c r="C2" t="s">
        <v>52</v>
      </c>
    </row>
    <row r="3" spans="1:3" ht="15">
      <c r="A3" t="s">
        <v>53</v>
      </c>
      <c r="C3" t="s">
        <v>54</v>
      </c>
    </row>
    <row r="4" spans="1:3" ht="15">
      <c r="A4" t="s">
        <v>55</v>
      </c>
      <c r="C4" t="s">
        <v>56</v>
      </c>
    </row>
    <row r="5" spans="1:3" ht="15">
      <c r="A5" t="s">
        <v>57</v>
      </c>
      <c r="C5" t="s">
        <v>58</v>
      </c>
    </row>
    <row r="6" spans="1:3" ht="15">
      <c r="A6" t="s">
        <v>59</v>
      </c>
      <c r="C6" t="s">
        <v>60</v>
      </c>
    </row>
    <row r="7" spans="1:3" ht="15">
      <c r="A7" t="s">
        <v>61</v>
      </c>
      <c r="C7" t="s">
        <v>62</v>
      </c>
    </row>
    <row r="8" spans="1:3" ht="15">
      <c r="A8" t="s">
        <v>63</v>
      </c>
      <c r="C8" t="s">
        <v>64</v>
      </c>
    </row>
    <row r="9" spans="1:3" ht="15">
      <c r="A9" t="s">
        <v>65</v>
      </c>
      <c r="C9" t="s">
        <v>66</v>
      </c>
    </row>
    <row r="10" spans="1:3" ht="15">
      <c r="A10" t="s">
        <v>67</v>
      </c>
      <c r="C10" t="s">
        <v>68</v>
      </c>
    </row>
    <row r="11" spans="1:3" ht="15">
      <c r="A11" t="s">
        <v>69</v>
      </c>
      <c r="B11">
        <v>1</v>
      </c>
      <c r="C11" t="s">
        <v>70</v>
      </c>
    </row>
  </sheetData>
  <autoFilter ref="A1:C11" xr:uid="{00000000-0009-0000-0000-000003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서약 세트 단계</vt:lpstr>
      <vt:lpstr>서약의 가호</vt:lpstr>
      <vt:lpstr>서약 등급별 최종데미지</vt:lpstr>
      <vt:lpstr>입력 규칙</vt:lpstr>
      <vt:lpstr>역산 기준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양현석(2017182021)</cp:lastModifiedBy>
  <dcterms:modified xsi:type="dcterms:W3CDTF">2026-05-08T09:03:46Z</dcterms:modified>
</cp:coreProperties>
</file>