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j\documents\github\dnf-hell-optimizer-react\Docs\"/>
    </mc:Choice>
  </mc:AlternateContent>
  <xr:revisionPtr revIDLastSave="0" documentId="13_ncr:1_{B3184387-697D-4479-8048-40203A3E0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장비 세트 단계" sheetId="1" r:id="rId1"/>
    <sheet name="서약 세트 단계" sheetId="2" r:id="rId2"/>
    <sheet name="무기" sheetId="3" r:id="rId3"/>
    <sheet name="장비 등급별 옵션" sheetId="4" r:id="rId4"/>
    <sheet name="무기 등급별 옵션" sheetId="5" r:id="rId5"/>
    <sheet name="서약의 가호" sheetId="6" r:id="rId6"/>
    <sheet name="서약 등급별 최종데미지" sheetId="7" r:id="rId7"/>
    <sheet name="입력 규칙" sheetId="8" r:id="rId8"/>
    <sheet name="역산 기준" sheetId="9" r:id="rId9"/>
  </sheets>
  <definedNames>
    <definedName name="_xlnm._FilterDatabase" localSheetId="1" hidden="1">'서약 세트 단계'!$A$1:$J$22</definedName>
    <definedName name="_xlnm._FilterDatabase" localSheetId="5" hidden="1">'서약의 가호'!$A$1:$H$6</definedName>
    <definedName name="_xlnm._FilterDatabase" localSheetId="8" hidden="1">'역산 기준'!$A$1:$C$11</definedName>
    <definedName name="_xlnm._FilterDatabase" localSheetId="0" hidden="1">'장비 세트 단계'!$A$1:$AF$22</definedName>
    <definedName name="Equip_Belt_Grades">'장비 등급별 옵션'!$A$30:$A$34</definedName>
    <definedName name="Equip_Bracelet_Grades">'장비 등급별 옵션'!$J$16:$J$20</definedName>
    <definedName name="Equip_Earring_Grades">'장비 등급별 옵션'!$J$37:$J$40</definedName>
    <definedName name="Equip_Jacket_Grades">'장비 등급별 옵션'!$A$2:$A$6</definedName>
    <definedName name="Equip_MagicStone_Grades">'장비 등급별 옵션'!$J$30:$J$33</definedName>
    <definedName name="Equip_Necklace_Grades">'장비 등급별 옵션'!$J$2:$J$6</definedName>
    <definedName name="Equip_Pants_Grades">'장비 등급별 옵션'!$A$16:$A$20</definedName>
    <definedName name="Equip_Ring_Grades">'장비 등급별 옵션'!$J$9:$J$13</definedName>
    <definedName name="Equip_Shoes_Grades">'장비 등급별 옵션'!$A$23:$A$27</definedName>
    <definedName name="Equip_Shoulder_Grades">'장비 등급별 옵션'!$A$9:$A$13</definedName>
    <definedName name="Equip_SubEquipment_Grades">'장비 등급별 옵션'!$J$23:$J$26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H22" i="3"/>
  <c r="G22" i="3"/>
  <c r="F22" i="3"/>
  <c r="E22" i="3"/>
  <c r="I21" i="3"/>
  <c r="H21" i="3"/>
  <c r="G21" i="3"/>
  <c r="F21" i="3"/>
  <c r="E21" i="3"/>
  <c r="I20" i="3"/>
  <c r="H20" i="3"/>
  <c r="G20" i="3"/>
  <c r="F20" i="3"/>
  <c r="E20" i="3"/>
  <c r="I19" i="3"/>
  <c r="H19" i="3"/>
  <c r="G19" i="3"/>
  <c r="F19" i="3"/>
  <c r="E19" i="3"/>
  <c r="I18" i="3"/>
  <c r="H18" i="3"/>
  <c r="G18" i="3"/>
  <c r="F18" i="3"/>
  <c r="E18" i="3"/>
  <c r="I17" i="3"/>
  <c r="H17" i="3"/>
  <c r="G17" i="3"/>
  <c r="F17" i="3"/>
  <c r="E17" i="3"/>
  <c r="I16" i="3"/>
  <c r="H16" i="3"/>
  <c r="G16" i="3"/>
  <c r="F16" i="3"/>
  <c r="E16" i="3"/>
  <c r="I15" i="3"/>
  <c r="H15" i="3"/>
  <c r="G15" i="3"/>
  <c r="F15" i="3"/>
  <c r="E15" i="3"/>
  <c r="I14" i="3"/>
  <c r="H14" i="3"/>
  <c r="G14" i="3"/>
  <c r="F14" i="3"/>
  <c r="E14" i="3"/>
  <c r="I13" i="3"/>
  <c r="H13" i="3"/>
  <c r="G13" i="3"/>
  <c r="F13" i="3"/>
  <c r="E13" i="3"/>
  <c r="I12" i="3"/>
  <c r="H12" i="3"/>
  <c r="G12" i="3"/>
  <c r="F12" i="3"/>
  <c r="E12" i="3"/>
  <c r="I11" i="3"/>
  <c r="H11" i="3"/>
  <c r="G11" i="3"/>
  <c r="F11" i="3"/>
  <c r="E11" i="3"/>
  <c r="I10" i="3"/>
  <c r="H10" i="3"/>
  <c r="G10" i="3"/>
  <c r="F10" i="3"/>
  <c r="E10" i="3"/>
  <c r="I9" i="3"/>
  <c r="H9" i="3"/>
  <c r="G9" i="3"/>
  <c r="F9" i="3"/>
  <c r="E9" i="3"/>
  <c r="I8" i="3"/>
  <c r="H8" i="3"/>
  <c r="G8" i="3"/>
  <c r="F8" i="3"/>
  <c r="E8" i="3"/>
  <c r="I7" i="3"/>
  <c r="H7" i="3"/>
  <c r="G7" i="3"/>
  <c r="F7" i="3"/>
  <c r="E7" i="3"/>
  <c r="I6" i="3"/>
  <c r="H6" i="3"/>
  <c r="G6" i="3"/>
  <c r="F6" i="3"/>
  <c r="E6" i="3"/>
  <c r="I5" i="3"/>
  <c r="H5" i="3"/>
  <c r="G5" i="3"/>
  <c r="F5" i="3"/>
  <c r="E5" i="3"/>
  <c r="I4" i="3"/>
  <c r="H4" i="3"/>
  <c r="G4" i="3"/>
  <c r="F4" i="3"/>
  <c r="E4" i="3"/>
  <c r="I3" i="3"/>
  <c r="H3" i="3"/>
  <c r="G3" i="3"/>
  <c r="F3" i="3"/>
  <c r="E3" i="3"/>
  <c r="I2" i="3"/>
  <c r="H2" i="3"/>
  <c r="G2" i="3"/>
  <c r="F2" i="3"/>
  <c r="E2" i="3"/>
  <c r="P22" i="2"/>
  <c r="O22" i="2"/>
  <c r="N22" i="2"/>
  <c r="M22" i="2"/>
  <c r="P21" i="2"/>
  <c r="O21" i="2"/>
  <c r="N21" i="2"/>
  <c r="M21" i="2"/>
  <c r="Q21" i="2" s="1"/>
  <c r="P20" i="2"/>
  <c r="O20" i="2"/>
  <c r="N20" i="2"/>
  <c r="M20" i="2"/>
  <c r="Q20" i="2" s="1"/>
  <c r="P19" i="2"/>
  <c r="O19" i="2"/>
  <c r="N19" i="2"/>
  <c r="M19" i="2"/>
  <c r="Q19" i="2" s="1"/>
  <c r="P18" i="2"/>
  <c r="O18" i="2"/>
  <c r="N18" i="2"/>
  <c r="M18" i="2"/>
  <c r="Q18" i="2" s="1"/>
  <c r="P17" i="2"/>
  <c r="O17" i="2"/>
  <c r="N17" i="2"/>
  <c r="M17" i="2"/>
  <c r="P16" i="2"/>
  <c r="O16" i="2"/>
  <c r="N16" i="2"/>
  <c r="M16" i="2"/>
  <c r="Q16" i="2" s="1"/>
  <c r="P15" i="2"/>
  <c r="O15" i="2"/>
  <c r="N15" i="2"/>
  <c r="M15" i="2"/>
  <c r="P14" i="2"/>
  <c r="O14" i="2"/>
  <c r="N14" i="2"/>
  <c r="M14" i="2"/>
  <c r="P13" i="2"/>
  <c r="O13" i="2"/>
  <c r="N13" i="2"/>
  <c r="M13" i="2"/>
  <c r="Q13" i="2" s="1"/>
  <c r="P12" i="2"/>
  <c r="O12" i="2"/>
  <c r="N12" i="2"/>
  <c r="M12" i="2"/>
  <c r="Q12" i="2" s="1"/>
  <c r="P11" i="2"/>
  <c r="O11" i="2"/>
  <c r="N11" i="2"/>
  <c r="M11" i="2"/>
  <c r="Q11" i="2" s="1"/>
  <c r="P10" i="2"/>
  <c r="O10" i="2"/>
  <c r="N10" i="2"/>
  <c r="M10" i="2"/>
  <c r="Q10" i="2" s="1"/>
  <c r="P9" i="2"/>
  <c r="O9" i="2"/>
  <c r="N9" i="2"/>
  <c r="M9" i="2"/>
  <c r="Q9" i="2" s="1"/>
  <c r="P8" i="2"/>
  <c r="O8" i="2"/>
  <c r="N8" i="2"/>
  <c r="M8" i="2"/>
  <c r="Q8" i="2" s="1"/>
  <c r="P7" i="2"/>
  <c r="O7" i="2"/>
  <c r="N7" i="2"/>
  <c r="M7" i="2"/>
  <c r="P6" i="2"/>
  <c r="O6" i="2"/>
  <c r="N6" i="2"/>
  <c r="M6" i="2"/>
  <c r="Q6" i="2" s="1"/>
  <c r="P5" i="2"/>
  <c r="O5" i="2"/>
  <c r="N5" i="2"/>
  <c r="M5" i="2"/>
  <c r="Q5" i="2" s="1"/>
  <c r="P4" i="2"/>
  <c r="O4" i="2"/>
  <c r="N4" i="2"/>
  <c r="M4" i="2"/>
  <c r="Q4" i="2" s="1"/>
  <c r="P3" i="2"/>
  <c r="O3" i="2"/>
  <c r="N3" i="2"/>
  <c r="M3" i="2"/>
  <c r="Q3" i="2" s="1"/>
  <c r="P2" i="2"/>
  <c r="O2" i="2"/>
  <c r="N2" i="2"/>
  <c r="M2" i="2"/>
  <c r="Q2" i="2" s="1"/>
  <c r="L2" i="2" s="1"/>
  <c r="K2" i="2"/>
  <c r="AF25" i="1"/>
  <c r="AE25" i="1"/>
  <c r="AC25" i="1"/>
  <c r="AB25" i="1"/>
  <c r="AA25" i="1"/>
  <c r="Z25" i="1"/>
  <c r="Y25" i="1"/>
  <c r="X25" i="1"/>
  <c r="W25" i="1"/>
  <c r="V25" i="1"/>
  <c r="U25" i="1"/>
  <c r="T25" i="1"/>
  <c r="S25" i="1"/>
  <c r="B25" i="1"/>
  <c r="AB22" i="1"/>
  <c r="W22" i="1"/>
  <c r="V22" i="1"/>
  <c r="U22" i="1"/>
  <c r="T22" i="1"/>
  <c r="Y22" i="1" s="1"/>
  <c r="S22" i="1"/>
  <c r="X22" i="1" s="1"/>
  <c r="D22" i="1"/>
  <c r="Z22" i="1" s="1"/>
  <c r="AB21" i="1"/>
  <c r="W21" i="1"/>
  <c r="D21" i="1" s="1"/>
  <c r="Z21" i="1" s="1"/>
  <c r="V21" i="1"/>
  <c r="U21" i="1"/>
  <c r="T21" i="1"/>
  <c r="Y21" i="1" s="1"/>
  <c r="S21" i="1"/>
  <c r="X21" i="1" s="1"/>
  <c r="AB20" i="1"/>
  <c r="W20" i="1"/>
  <c r="D20" i="1" s="1"/>
  <c r="Z20" i="1" s="1"/>
  <c r="V20" i="1"/>
  <c r="U20" i="1"/>
  <c r="T20" i="1"/>
  <c r="Y20" i="1" s="1"/>
  <c r="S20" i="1"/>
  <c r="AB19" i="1"/>
  <c r="W19" i="1"/>
  <c r="D19" i="1" s="1"/>
  <c r="Z19" i="1" s="1"/>
  <c r="V19" i="1"/>
  <c r="U19" i="1"/>
  <c r="T19" i="1"/>
  <c r="Y19" i="1" s="1"/>
  <c r="S19" i="1"/>
  <c r="X19" i="1" s="1"/>
  <c r="AB18" i="1"/>
  <c r="W18" i="1"/>
  <c r="D18" i="1" s="1"/>
  <c r="Z18" i="1" s="1"/>
  <c r="V18" i="1"/>
  <c r="U18" i="1"/>
  <c r="T18" i="1"/>
  <c r="Y18" i="1" s="1"/>
  <c r="S18" i="1"/>
  <c r="X18" i="1" s="1"/>
  <c r="AB17" i="1"/>
  <c r="W17" i="1"/>
  <c r="D17" i="1" s="1"/>
  <c r="Z17" i="1" s="1"/>
  <c r="V17" i="1"/>
  <c r="U17" i="1"/>
  <c r="T17" i="1"/>
  <c r="Y17" i="1" s="1"/>
  <c r="S17" i="1"/>
  <c r="AB16" i="1"/>
  <c r="W16" i="1"/>
  <c r="D16" i="1" s="1"/>
  <c r="Z16" i="1" s="1"/>
  <c r="V16" i="1"/>
  <c r="U16" i="1"/>
  <c r="T16" i="1"/>
  <c r="S16" i="1"/>
  <c r="AB15" i="1"/>
  <c r="W15" i="1"/>
  <c r="V15" i="1"/>
  <c r="U15" i="1"/>
  <c r="T15" i="1"/>
  <c r="Y15" i="1" s="1"/>
  <c r="S15" i="1"/>
  <c r="X15" i="1" s="1"/>
  <c r="D15" i="1"/>
  <c r="Z15" i="1" s="1"/>
  <c r="AB14" i="1"/>
  <c r="W14" i="1"/>
  <c r="D14" i="1" s="1"/>
  <c r="Z14" i="1" s="1"/>
  <c r="V14" i="1"/>
  <c r="U14" i="1"/>
  <c r="T14" i="1"/>
  <c r="Y14" i="1" s="1"/>
  <c r="S14" i="1"/>
  <c r="AB13" i="1"/>
  <c r="W13" i="1"/>
  <c r="D13" i="1" s="1"/>
  <c r="Z13" i="1" s="1"/>
  <c r="V13" i="1"/>
  <c r="U13" i="1"/>
  <c r="T13" i="1"/>
  <c r="Y13" i="1" s="1"/>
  <c r="S13" i="1"/>
  <c r="X13" i="1" s="1"/>
  <c r="AB12" i="1"/>
  <c r="W12" i="1"/>
  <c r="V12" i="1"/>
  <c r="U12" i="1"/>
  <c r="T12" i="1"/>
  <c r="Y12" i="1" s="1"/>
  <c r="S12" i="1"/>
  <c r="X12" i="1" s="1"/>
  <c r="D12" i="1"/>
  <c r="Z12" i="1" s="1"/>
  <c r="AB11" i="1"/>
  <c r="W11" i="1"/>
  <c r="D11" i="1" s="1"/>
  <c r="Z11" i="1" s="1"/>
  <c r="V11" i="1"/>
  <c r="U11" i="1"/>
  <c r="T11" i="1"/>
  <c r="Y11" i="1" s="1"/>
  <c r="S11" i="1"/>
  <c r="AB10" i="1"/>
  <c r="W10" i="1"/>
  <c r="D10" i="1" s="1"/>
  <c r="Z10" i="1" s="1"/>
  <c r="V10" i="1"/>
  <c r="U10" i="1"/>
  <c r="T10" i="1"/>
  <c r="Y10" i="1" s="1"/>
  <c r="S10" i="1"/>
  <c r="X10" i="1" s="1"/>
  <c r="AB9" i="1"/>
  <c r="W9" i="1"/>
  <c r="D9" i="1" s="1"/>
  <c r="Z9" i="1" s="1"/>
  <c r="V9" i="1"/>
  <c r="U9" i="1"/>
  <c r="T9" i="1"/>
  <c r="Y9" i="1" s="1"/>
  <c r="S9" i="1"/>
  <c r="X9" i="1" s="1"/>
  <c r="AB8" i="1"/>
  <c r="W8" i="1"/>
  <c r="D8" i="1" s="1"/>
  <c r="Z8" i="1" s="1"/>
  <c r="V8" i="1"/>
  <c r="U8" i="1"/>
  <c r="T8" i="1"/>
  <c r="Y8" i="1" s="1"/>
  <c r="S8" i="1"/>
  <c r="X8" i="1" s="1"/>
  <c r="AB7" i="1"/>
  <c r="W7" i="1"/>
  <c r="D7" i="1" s="1"/>
  <c r="Z7" i="1" s="1"/>
  <c r="V7" i="1"/>
  <c r="U7" i="1"/>
  <c r="T7" i="1"/>
  <c r="Y7" i="1" s="1"/>
  <c r="S7" i="1"/>
  <c r="X7" i="1" s="1"/>
  <c r="AB6" i="1"/>
  <c r="W6" i="1"/>
  <c r="D6" i="1" s="1"/>
  <c r="Z6" i="1" s="1"/>
  <c r="V6" i="1"/>
  <c r="U6" i="1"/>
  <c r="T6" i="1"/>
  <c r="Y6" i="1" s="1"/>
  <c r="S6" i="1"/>
  <c r="X6" i="1" s="1"/>
  <c r="AB5" i="1"/>
  <c r="W5" i="1"/>
  <c r="D5" i="1" s="1"/>
  <c r="Z5" i="1" s="1"/>
  <c r="V5" i="1"/>
  <c r="U5" i="1"/>
  <c r="T5" i="1"/>
  <c r="Y5" i="1" s="1"/>
  <c r="S5" i="1"/>
  <c r="X5" i="1" s="1"/>
  <c r="AB4" i="1"/>
  <c r="W4" i="1"/>
  <c r="D4" i="1" s="1"/>
  <c r="Z4" i="1" s="1"/>
  <c r="V4" i="1"/>
  <c r="U4" i="1"/>
  <c r="T4" i="1"/>
  <c r="Y4" i="1" s="1"/>
  <c r="S4" i="1"/>
  <c r="AB3" i="1"/>
  <c r="W3" i="1"/>
  <c r="D3" i="1" s="1"/>
  <c r="Z3" i="1" s="1"/>
  <c r="V3" i="1"/>
  <c r="U3" i="1"/>
  <c r="T3" i="1"/>
  <c r="Y3" i="1" s="1"/>
  <c r="S3" i="1"/>
  <c r="X3" i="1" s="1"/>
  <c r="AB2" i="1"/>
  <c r="W2" i="1"/>
  <c r="D2" i="1" s="1"/>
  <c r="Z2" i="1" s="1"/>
  <c r="V2" i="1"/>
  <c r="U2" i="1"/>
  <c r="T2" i="1"/>
  <c r="Y2" i="1" s="1"/>
  <c r="S2" i="1"/>
  <c r="X2" i="1" s="1"/>
  <c r="Q2" i="1"/>
  <c r="X20" i="1" l="1"/>
  <c r="Q14" i="2"/>
  <c r="Q7" i="2"/>
  <c r="Y16" i="1"/>
  <c r="X16" i="1"/>
  <c r="Q22" i="2"/>
  <c r="Q17" i="2"/>
  <c r="K18" i="2" s="1"/>
  <c r="Q15" i="2"/>
  <c r="X11" i="1"/>
  <c r="AA11" i="1" s="1"/>
  <c r="X17" i="1"/>
  <c r="X14" i="1"/>
  <c r="X4" i="1"/>
  <c r="K22" i="2"/>
  <c r="L22" i="2"/>
  <c r="L21" i="2"/>
  <c r="K21" i="2"/>
  <c r="K20" i="2"/>
  <c r="L20" i="2"/>
  <c r="K19" i="2"/>
  <c r="L19" i="2"/>
  <c r="L18" i="2"/>
  <c r="K17" i="2"/>
  <c r="L17" i="2"/>
  <c r="L16" i="2"/>
  <c r="K16" i="2"/>
  <c r="K15" i="2"/>
  <c r="L15" i="2"/>
  <c r="K14" i="2"/>
  <c r="L14" i="2"/>
  <c r="K13" i="2"/>
  <c r="L13" i="2"/>
  <c r="K12" i="2"/>
  <c r="L12" i="2"/>
  <c r="K11" i="2"/>
  <c r="L11" i="2"/>
  <c r="K10" i="2"/>
  <c r="L10" i="2"/>
  <c r="K9" i="2"/>
  <c r="L9" i="2"/>
  <c r="K8" i="2"/>
  <c r="L8" i="2"/>
  <c r="K7" i="2"/>
  <c r="L7" i="2"/>
  <c r="K6" i="2"/>
  <c r="L6" i="2"/>
  <c r="K5" i="2"/>
  <c r="L5" i="2"/>
  <c r="K4" i="2"/>
  <c r="L4" i="2"/>
  <c r="K3" i="2"/>
  <c r="L3" i="2"/>
  <c r="AA22" i="1"/>
  <c r="AA21" i="1"/>
  <c r="AA20" i="1"/>
  <c r="AA19" i="1"/>
  <c r="AA18" i="1"/>
  <c r="AA17" i="1"/>
  <c r="AA16" i="1"/>
  <c r="AA15" i="1"/>
  <c r="AA14" i="1"/>
  <c r="AA13" i="1"/>
  <c r="AA12" i="1"/>
  <c r="AA10" i="1"/>
  <c r="AA9" i="1"/>
  <c r="AA8" i="1"/>
  <c r="AA7" i="1"/>
  <c r="AA6" i="1"/>
  <c r="AA5" i="1"/>
  <c r="AA4" i="1"/>
  <c r="AA3" i="1"/>
  <c r="AA2" i="1"/>
  <c r="AC20" i="1"/>
  <c r="AC17" i="1"/>
  <c r="AC16" i="1"/>
  <c r="AC22" i="1"/>
  <c r="AC18" i="1"/>
  <c r="AC9" i="1"/>
  <c r="AE9" i="1" s="1"/>
  <c r="AF9" i="1" s="1"/>
  <c r="AC8" i="1"/>
  <c r="AE8" i="1" s="1"/>
  <c r="AF8" i="1" s="1"/>
  <c r="AC21" i="1"/>
  <c r="AC19" i="1"/>
  <c r="AC15" i="1"/>
  <c r="AE15" i="1" s="1"/>
  <c r="AF15" i="1" s="1"/>
  <c r="AC14" i="1"/>
  <c r="AE14" i="1" s="1"/>
  <c r="AF14" i="1" s="1"/>
  <c r="AC13" i="1"/>
  <c r="AE13" i="1" s="1"/>
  <c r="AF13" i="1" s="1"/>
  <c r="AC12" i="1"/>
  <c r="AE12" i="1" s="1"/>
  <c r="AF12" i="1" s="1"/>
  <c r="AC11" i="1"/>
  <c r="AE11" i="1" s="1"/>
  <c r="AF11" i="1" s="1"/>
  <c r="AC10" i="1"/>
  <c r="AE10" i="1" s="1"/>
  <c r="AF10" i="1" s="1"/>
  <c r="AC7" i="1"/>
  <c r="AE7" i="1" s="1"/>
  <c r="AF7" i="1" s="1"/>
  <c r="AC6" i="1"/>
  <c r="AE6" i="1" s="1"/>
  <c r="AF6" i="1" s="1"/>
  <c r="AC5" i="1"/>
  <c r="AE5" i="1" s="1"/>
  <c r="AF5" i="1" s="1"/>
  <c r="AC4" i="1"/>
  <c r="AE4" i="1" s="1"/>
  <c r="AF4" i="1" s="1"/>
  <c r="AC3" i="1"/>
  <c r="AE3" i="1" s="1"/>
  <c r="AF3" i="1" s="1"/>
  <c r="AC2" i="1"/>
  <c r="AE2" i="1" s="1"/>
  <c r="AF2" i="1" s="1"/>
  <c r="R9" i="1" l="1"/>
  <c r="R8" i="1"/>
  <c r="Q9" i="1"/>
  <c r="AD9" i="1"/>
  <c r="AD8" i="1"/>
  <c r="AD25" i="1"/>
  <c r="R2" i="1"/>
  <c r="AD2" i="1" s="1"/>
  <c r="R15" i="1"/>
  <c r="R14" i="1"/>
  <c r="R13" i="1"/>
  <c r="R12" i="1"/>
  <c r="R11" i="1"/>
  <c r="R10" i="1"/>
  <c r="R7" i="1"/>
  <c r="Q8" i="1" s="1"/>
  <c r="R6" i="1"/>
  <c r="R5" i="1"/>
  <c r="R4" i="1"/>
  <c r="R3" i="1"/>
  <c r="R20" i="1"/>
  <c r="AE20" i="1"/>
  <c r="AF20" i="1" s="1"/>
  <c r="R17" i="1"/>
  <c r="AE17" i="1"/>
  <c r="AF17" i="1" s="1"/>
  <c r="R16" i="1"/>
  <c r="AE16" i="1"/>
  <c r="AF16" i="1" s="1"/>
  <c r="R22" i="1"/>
  <c r="AE22" i="1"/>
  <c r="AF22" i="1" s="1"/>
  <c r="R18" i="1"/>
  <c r="AE18" i="1"/>
  <c r="AF18" i="1" s="1"/>
  <c r="R21" i="1"/>
  <c r="AE21" i="1"/>
  <c r="AF21" i="1" s="1"/>
  <c r="R19" i="1"/>
  <c r="AE19" i="1"/>
  <c r="AF19" i="1" s="1"/>
  <c r="AD15" i="1" l="1"/>
  <c r="Q15" i="1"/>
  <c r="AD14" i="1"/>
  <c r="Q14" i="1"/>
  <c r="AD13" i="1"/>
  <c r="Q13" i="1"/>
  <c r="AD12" i="1"/>
  <c r="Q12" i="1"/>
  <c r="AD11" i="1"/>
  <c r="Q11" i="1"/>
  <c r="AD10" i="1"/>
  <c r="Q10" i="1"/>
  <c r="AD7" i="1"/>
  <c r="Q7" i="1"/>
  <c r="AD6" i="1"/>
  <c r="Q6" i="1"/>
  <c r="AD5" i="1"/>
  <c r="Q5" i="1"/>
  <c r="AD4" i="1"/>
  <c r="Q4" i="1"/>
  <c r="AD3" i="1"/>
  <c r="Q3" i="1"/>
  <c r="AD20" i="1"/>
  <c r="Q20" i="1"/>
  <c r="AD17" i="1"/>
  <c r="Q17" i="1"/>
  <c r="AD16" i="1"/>
  <c r="Q16" i="1"/>
  <c r="AD22" i="1"/>
  <c r="Q22" i="1"/>
  <c r="AD18" i="1"/>
  <c r="Q18" i="1"/>
  <c r="AD21" i="1"/>
  <c r="Q21" i="1"/>
  <c r="AD19" i="1"/>
  <c r="Q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R1" authorId="0" shapeId="0" xr:uid="{00000000-0006-0000-0000-000001000000}">
      <text>
        <r>
          <rPr>
            <sz val="11"/>
            <rFont val="Calibri"/>
          </rPr>
          <t>레어 I 기준값을 앵커로 환산한 세트포인트 단계의 절대 최종 데미지.</t>
        </r>
      </text>
    </comment>
    <comment ref="V1" authorId="0" shapeId="0" xr:uid="{00000000-0006-0000-0000-000002000000}">
      <text>
        <r>
          <rPr>
            <sz val="11"/>
            <rFont val="Calibri"/>
          </rPr>
          <t>현재 장비점수 공통식에 확정된 쿨감 환산식이 없어 참고값으로만 둔다.</t>
        </r>
      </text>
    </comment>
    <comment ref="AC1" authorId="0" shapeId="0" xr:uid="{00000000-0006-0000-0000-000003000000}">
      <text>
        <r>
          <rPr>
            <sz val="11"/>
            <rFont val="Calibri"/>
          </rPr>
          <t>공식 장비점수 전후비에서 장비 본체, 공격력 증가, 주스탯 전후비를 제거한 세트 단계 배율.</t>
        </r>
      </text>
    </comment>
    <comment ref="Q25" authorId="0" shapeId="0" xr:uid="{00000000-0006-0000-0000-000004000000}">
      <text>
        <r>
          <rPr>
            <sz val="11"/>
            <rFont val="Calibri"/>
          </rPr>
          <t>직업별 기본 스탯. 현재 표본 마키듀얼은 힘 779.</t>
        </r>
      </text>
    </comment>
    <comment ref="R25" authorId="0" shapeId="0" xr:uid="{00000000-0006-0000-0000-000005000000}">
      <text>
        <r>
          <rPr>
            <sz val="11"/>
            <rFont val="Calibri"/>
          </rPr>
          <t>절대 세트 최종뎀 역산의 기준값. 확인값이 바뀌면 이 셀만 수정한다.</t>
        </r>
      </text>
    </comment>
  </commentList>
</comments>
</file>

<file path=xl/sharedStrings.xml><?xml version="1.0" encoding="utf-8"?>
<sst xmlns="http://schemas.openxmlformats.org/spreadsheetml/2006/main" count="642" uniqueCount="131">
  <si>
    <t>세트단계</t>
  </si>
  <si>
    <t>필요 세트포인트</t>
  </si>
  <si>
    <t>변경 후 장비점수</t>
  </si>
  <si>
    <t>변경 후 스탯(필수)</t>
  </si>
  <si>
    <t>상의</t>
  </si>
  <si>
    <t>머리어깨</t>
  </si>
  <si>
    <t>하의</t>
  </si>
  <si>
    <t>신발</t>
  </si>
  <si>
    <t>허리</t>
  </si>
  <si>
    <t>목걸이</t>
  </si>
  <si>
    <t>반지</t>
  </si>
  <si>
    <t>팔찌</t>
  </si>
  <si>
    <t>보조장비</t>
  </si>
  <si>
    <t>마법석</t>
  </si>
  <si>
    <t>귀걸이</t>
  </si>
  <si>
    <t>공격력증가</t>
  </si>
  <si>
    <t>이전 단계 전후비(%)</t>
  </si>
  <si>
    <t>세트 단계 최종뎀(%)</t>
  </si>
  <si>
    <t>장비최종뎀곱</t>
  </si>
  <si>
    <t>장비공격력증가합</t>
  </si>
  <si>
    <t>장비속강합</t>
  </si>
  <si>
    <t>장비쿨감합(참고)</t>
  </si>
  <si>
    <t>장비힘합</t>
  </si>
  <si>
    <t>장비본체옵션전후비</t>
  </si>
  <si>
    <t>공격력증가전후비</t>
  </si>
  <si>
    <t>주스탯전후비</t>
  </si>
  <si>
    <t>세트제외보정점수</t>
  </si>
  <si>
    <t>전체점수전후비</t>
  </si>
  <si>
    <t>세트단계전후비</t>
  </si>
  <si>
    <t>최종뎀 0.1% 반올림</t>
  </si>
  <si>
    <t>검산 장비점수</t>
  </si>
  <si>
    <t>검산 오차</t>
  </si>
  <si>
    <t>레어 I</t>
  </si>
  <si>
    <t>유니크</t>
  </si>
  <si>
    <t>레어</t>
  </si>
  <si>
    <t>레어 II</t>
  </si>
  <si>
    <t>레어 III</t>
  </si>
  <si>
    <t>레어 IV</t>
  </si>
  <si>
    <t>레어 V</t>
  </si>
  <si>
    <t>유니크 I</t>
  </si>
  <si>
    <t>유니크 II</t>
  </si>
  <si>
    <t>레전더리</t>
  </si>
  <si>
    <t>유니크 III</t>
  </si>
  <si>
    <t>유니크 IV</t>
  </si>
  <si>
    <t>유니크 V</t>
  </si>
  <si>
    <t>레전더리 I</t>
  </si>
  <si>
    <t>레전더리 II</t>
  </si>
  <si>
    <t>레전더리 III</t>
  </si>
  <si>
    <t>에픽</t>
  </si>
  <si>
    <t>레전더리 IV</t>
  </si>
  <si>
    <t>레전더리 V</t>
  </si>
  <si>
    <t>에픽 I</t>
  </si>
  <si>
    <t>에픽 II</t>
  </si>
  <si>
    <t>에픽 III</t>
  </si>
  <si>
    <t>에픽 IV</t>
  </si>
  <si>
    <t>에픽 V</t>
  </si>
  <si>
    <t>태초</t>
  </si>
  <si>
    <t>에픽잠식(업글)</t>
  </si>
  <si>
    <t>기준 캐릭터</t>
  </si>
  <si>
    <t>기준 세트포인트(자동)</t>
  </si>
  <si>
    <t>기준 장비점수</t>
  </si>
  <si>
    <t>기준스탯</t>
  </si>
  <si>
    <t>기준 직업 기본스탯</t>
  </si>
  <si>
    <t>레어 I 기준 세트 최종뎀(%)</t>
  </si>
  <si>
    <t>마키듀얼</t>
  </si>
  <si>
    <t>기준 총 공격력증가</t>
  </si>
  <si>
    <t>필요세트포인트</t>
  </si>
  <si>
    <t>변경 후 세트포인트</t>
  </si>
  <si>
    <t>서약 등급</t>
  </si>
  <si>
    <t>레어 결정</t>
  </si>
  <si>
    <t>유니크 결정</t>
  </si>
  <si>
    <t>레전 결정</t>
  </si>
  <si>
    <t>에픽 결정</t>
  </si>
  <si>
    <t>태초 결정</t>
  </si>
  <si>
    <t>단계 증가량(%)</t>
  </si>
  <si>
    <t>누적 증가량(%)</t>
  </si>
  <si>
    <t>결정배율</t>
  </si>
  <si>
    <t>서약등급배율</t>
  </si>
  <si>
    <t>가호최종뎀배율</t>
  </si>
  <si>
    <t>서약스탯배율</t>
  </si>
  <si>
    <t>보정점수</t>
  </si>
  <si>
    <t>기준 서약 포인트</t>
  </si>
  <si>
    <t>레전</t>
  </si>
  <si>
    <t>마키로그</t>
  </si>
  <si>
    <t>최종뎀</t>
  </si>
  <si>
    <t>속성강화</t>
  </si>
  <si>
    <t>힘</t>
  </si>
  <si>
    <t>지능</t>
  </si>
  <si>
    <t>체력</t>
  </si>
  <si>
    <t>정신력</t>
  </si>
  <si>
    <t>쿨타임감소</t>
  </si>
  <si>
    <t>세트포인트(통일)</t>
  </si>
  <si>
    <t>가호 단계/이름</t>
  </si>
  <si>
    <t>서약 포인트</t>
  </si>
  <si>
    <t>최종데미지증가(%)</t>
  </si>
  <si>
    <t>스킬쿨타임감소(%)</t>
  </si>
  <si>
    <t>버프력</t>
  </si>
  <si>
    <t>스킬범위(%)</t>
  </si>
  <si>
    <t>명성</t>
  </si>
  <si>
    <t>메모</t>
  </si>
  <si>
    <t>스텟(힘지체정)</t>
  </si>
  <si>
    <t>입력 규칙</t>
  </si>
  <si>
    <t>퍼센트 값은 % 기호 없이 숫자만 입력한다.</t>
  </si>
  <si>
    <t>공식 API 값이 391.1%라면 391.1로 입력한다.</t>
  </si>
  <si>
    <t>같은 세트단계에서 세트명이 달라도 값이 같으면 표본 캐릭터/세트명만 추가 기록한다.</t>
  </si>
  <si>
    <t>세트단계별 값이 확정되면 장비점수 계산에서는 세트 설명문을 해석하지 않고 이 표의 최종데미지증가 값을 사용한다.</t>
  </si>
  <si>
    <t>API 위치</t>
  </si>
  <si>
    <t>서약 세트 단계: oath.setInfo.setRarityName + oath.setInfo.active.status</t>
  </si>
  <si>
    <t>서약 세트 포인트: oath.setInfo.active.setPoint</t>
  </si>
  <si>
    <t>서약의 가호: oath.blessing.status</t>
  </si>
  <si>
    <t>항목</t>
  </si>
  <si>
    <t>값</t>
  </si>
  <si>
    <t>변경 전 공식 장비점수</t>
  </si>
  <si>
    <t>기준 서약포인트</t>
  </si>
  <si>
    <t>변경 전 oath.setInfo.active.setPoint.current</t>
  </si>
  <si>
    <t>기준 레어 결정 개수</t>
  </si>
  <si>
    <t>변경 전 레어 결정 개수</t>
  </si>
  <si>
    <t>기준 유니크 결정 개수</t>
  </si>
  <si>
    <t>변경 전 유니크 결정 개수</t>
  </si>
  <si>
    <t>기준 레전더리 결정 개수</t>
  </si>
  <si>
    <t>변경 전 레전더리 결정 개수</t>
  </si>
  <si>
    <t>기준 에픽 결정 개수</t>
  </si>
  <si>
    <t>변경 전 에픽 결정 개수</t>
  </si>
  <si>
    <t>기준 태초 결정 개수</t>
  </si>
  <si>
    <t>변경 전 태초 결정 개수</t>
  </si>
  <si>
    <t>기준 세트단계</t>
  </si>
  <si>
    <t>예: 에픽 V</t>
  </si>
  <si>
    <t>기준 세트 최종데미지(%)</t>
  </si>
  <si>
    <t>알고 있으면 입력, 모르면 비워둠</t>
  </si>
  <si>
    <t>기준 기타 전후비</t>
  </si>
  <si>
    <t>세트 외 옵션 변화가 없으면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</si>
</sst>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"/>
    <numFmt numFmtId="178" formatCode="0.000000"/>
  </numFmts>
  <fonts count="9">
    <font>
      <sz val="11"/>
      <name val="Calibri"/>
    </font>
    <font>
      <b/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Calibri"/>
    </font>
    <font>
      <sz val="11"/>
      <name val="Calibri"/>
      <family val="2"/>
    </font>
    <font>
      <b/>
      <sz val="11"/>
      <name val="메이플스토리"/>
      <family val="3"/>
      <charset val="129"/>
    </font>
    <font>
      <sz val="11"/>
      <name val="메이플스토리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  <fill>
      <patternFill patternType="solid">
        <fgColor rgb="FFEAF2FF"/>
      </patternFill>
    </fill>
    <fill>
      <patternFill patternType="solid">
        <fgColor rgb="FF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2" borderId="0" xfId="0" applyFont="1" applyFill="1"/>
    <xf numFmtId="176" fontId="0" fillId="0" borderId="0" xfId="0" applyNumberFormat="1"/>
    <xf numFmtId="0" fontId="5" fillId="3" borderId="0" xfId="0" applyFont="1" applyFill="1"/>
    <xf numFmtId="0" fontId="6" fillId="0" borderId="0" xfId="0" applyFont="1"/>
    <xf numFmtId="177" fontId="0" fillId="0" borderId="0" xfId="0" applyNumberFormat="1"/>
    <xf numFmtId="0" fontId="7" fillId="2" borderId="0" xfId="0" applyFont="1" applyFill="1"/>
    <xf numFmtId="0" fontId="7" fillId="3" borderId="0" xfId="0" applyFont="1" applyFill="1"/>
    <xf numFmtId="0" fontId="8" fillId="0" borderId="0" xfId="0" applyFont="1"/>
    <xf numFmtId="176" fontId="8" fillId="0" borderId="0" xfId="0" applyNumberFormat="1" applyFont="1"/>
    <xf numFmtId="2" fontId="8" fillId="0" borderId="0" xfId="0" applyNumberFormat="1" applyFont="1"/>
    <xf numFmtId="0" fontId="7" fillId="4" borderId="0" xfId="0" applyFont="1" applyFill="1"/>
    <xf numFmtId="1" fontId="8" fillId="0" borderId="0" xfId="0" applyNumberFormat="1" applyFont="1"/>
    <xf numFmtId="177" fontId="8" fillId="0" borderId="0" xfId="0" applyNumberFormat="1" applyFont="1"/>
    <xf numFmtId="178" fontId="8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"/>
  <sheetViews>
    <sheetView tabSelected="1" workbookViewId="0">
      <pane ySplit="1" topLeftCell="A2" activePane="bottomLeft" state="frozen"/>
      <selection pane="bottomLeft" activeCell="H24" sqref="H24"/>
    </sheetView>
  </sheetViews>
  <sheetFormatPr defaultRowHeight="15"/>
  <cols>
    <col min="1" max="1" width="12.85546875" bestFit="1" customWidth="1"/>
    <col min="2" max="2" width="18.5703125" bestFit="1" customWidth="1"/>
    <col min="3" max="3" width="19.42578125" bestFit="1" customWidth="1"/>
    <col min="4" max="4" width="18" bestFit="1" customWidth="1"/>
    <col min="5" max="5" width="11.42578125" bestFit="1" customWidth="1"/>
    <col min="6" max="6" width="13.85546875" bestFit="1" customWidth="1"/>
    <col min="7" max="9" width="11.42578125" bestFit="1" customWidth="1"/>
    <col min="10" max="15" width="10.28515625" bestFit="1" customWidth="1"/>
    <col min="16" max="16" width="12.7109375" bestFit="1" customWidth="1"/>
    <col min="17" max="17" width="20" bestFit="1" customWidth="1"/>
    <col min="18" max="18" width="21" customWidth="1"/>
    <col min="19" max="19" width="14" customWidth="1"/>
    <col min="20" max="20" width="20.28515625" bestFit="1" customWidth="1"/>
    <col min="21" max="21" width="12" customWidth="1"/>
    <col min="22" max="22" width="18" customWidth="1"/>
    <col min="23" max="23" width="12" customWidth="1"/>
    <col min="24" max="24" width="21" customWidth="1"/>
    <col min="25" max="25" width="20" customWidth="1"/>
    <col min="26" max="26" width="18" customWidth="1"/>
    <col min="27" max="27" width="19" customWidth="1"/>
    <col min="28" max="29" width="18" customWidth="1"/>
    <col min="30" max="30" width="21" customWidth="1"/>
    <col min="31" max="31" width="17" customWidth="1"/>
    <col min="32" max="32" width="12" customWidth="1"/>
  </cols>
  <sheetData>
    <row r="1" spans="1:32" ht="16.5" customHeight="1">
      <c r="A1" s="8" t="s">
        <v>0</v>
      </c>
      <c r="B1" s="8" t="s">
        <v>1</v>
      </c>
      <c r="C1" s="8" t="s">
        <v>2</v>
      </c>
      <c r="D1" s="13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</row>
    <row r="2" spans="1:32" ht="16.5" customHeight="1">
      <c r="A2" s="10" t="s">
        <v>32</v>
      </c>
      <c r="B2" s="10">
        <v>750</v>
      </c>
      <c r="C2" s="10">
        <v>719</v>
      </c>
      <c r="D2" s="14">
        <f t="shared" ref="D2:D22" si="0">$D$25+W2-$W$25</f>
        <v>6306</v>
      </c>
      <c r="E2" s="10" t="s">
        <v>33</v>
      </c>
      <c r="F2" s="10" t="s">
        <v>34</v>
      </c>
      <c r="G2" s="10" t="s">
        <v>34</v>
      </c>
      <c r="H2" s="10" t="s">
        <v>34</v>
      </c>
      <c r="I2" s="10" t="s">
        <v>34</v>
      </c>
      <c r="J2" s="10" t="s">
        <v>34</v>
      </c>
      <c r="K2" s="10" t="s">
        <v>34</v>
      </c>
      <c r="L2" s="10" t="s">
        <v>34</v>
      </c>
      <c r="M2" s="10" t="s">
        <v>34</v>
      </c>
      <c r="N2" s="10" t="s">
        <v>34</v>
      </c>
      <c r="O2" s="10" t="s">
        <v>34</v>
      </c>
      <c r="P2" s="10">
        <v>0</v>
      </c>
      <c r="Q2" s="16">
        <f>0</f>
        <v>0</v>
      </c>
      <c r="R2" s="16">
        <f t="shared" ref="R2:R22" si="1">IF(OR(AC2="",$AC$2="",$R$25=""),"",(AC2/$AC$2*(1+$R$25/100)-1)*100)</f>
        <v>4.0000000000000036</v>
      </c>
      <c r="S2" s="15">
        <f>(1+IFERROR(VLOOKUP(E2,'장비 등급별 옵션'!$A$2:$D$6,3,FALSE),0)/100)*(1+IFERROR(VLOOKUP(F2,'장비 등급별 옵션'!$A$9:$D$13,3,FALSE),0)/100)*(1+IFERROR(VLOOKUP(G2,'장비 등급별 옵션'!$A$16:$D$20,3,FALSE),0)/100)*(1+IFERROR(VLOOKUP(H2,'장비 등급별 옵션'!$A$23:$D$27,3,FALSE),0)/100)*(1+IFERROR(VLOOKUP(I2,'장비 등급별 옵션'!$A$30:$D$34,3,FALSE),0)/100)*(1+IFERROR(VLOOKUP(J2,'장비 등급별 옵션'!$J$2:$N$6,3,FALSE),0)/100)*(1+IFERROR(VLOOKUP(K2,'장비 등급별 옵션'!$J$9:$N$13,3,FALSE),0)/100)*(1+IFERROR(VLOOKUP(L2,'장비 등급별 옵션'!$J$16:$N$20,3,FALSE),0)/100)*(1+IFERROR(VLOOKUP(M2,'장비 등급별 옵션'!$J$23:$N$27,3,FALSE),0)/100)*(1+IFERROR(VLOOKUP(N2,'장비 등급별 옵션'!$J$30:$N$34,3,FALSE),0)/100)*(1+IFERROR(VLOOKUP(O2,'장비 등급별 옵션'!$J$37:$N$40,3,FALSE),0)/100)</f>
        <v>68.080796783999986</v>
      </c>
      <c r="T2" s="15">
        <f>IFERROR(VLOOKUP(E2,'장비 등급별 옵션'!$A$2:$D$6,2,FALSE),0)+IFERROR(VLOOKUP(F2,'장비 등급별 옵션'!$A$9:$D$13,2,FALSE),0)+IFERROR(VLOOKUP(G2,'장비 등급별 옵션'!$A$16:$D$20,2,FALSE),0)+IFERROR(VLOOKUP(H2,'장비 등급별 옵션'!$A$23:$D$27,2,FALSE),0)+IFERROR(VLOOKUP(I2,'장비 등급별 옵션'!$A$30:$D$34,2,FALSE),0)+IFERROR(VLOOKUP(J2,'장비 등급별 옵션'!$J$2:$N$6,2,FALSE),0)+IFERROR(VLOOKUP(K2,'장비 등급별 옵션'!$J$9:$N$13,2,FALSE),0)+IFERROR(VLOOKUP(L2,'장비 등급별 옵션'!$J$16:$N$20,2,FALSE),0)+IFERROR(VLOOKUP(M2,'장비 등급별 옵션'!$J$23:$N$27,2,FALSE),0)+IFERROR(VLOOKUP(N2,'장비 등급별 옵션'!$J$30:$N$34,2,FALSE),0)+IFERROR(VLOOKUP(O2,'장비 등급별 옵션'!$J$37:$N$40,2,FALSE),0)</f>
        <v>24189</v>
      </c>
      <c r="U2" s="15">
        <f>IFERROR(VLOOKUP(E2,'장비 등급별 옵션'!$A$2:$D$6,4,FALSE),0)+IFERROR(VLOOKUP(F2,'장비 등급별 옵션'!$A$9:$D$13,4,FALSE),0)+IFERROR(VLOOKUP(G2,'장비 등급별 옵션'!$A$16:$D$20,4,FALSE),0)+IFERROR(VLOOKUP(H2,'장비 등급별 옵션'!$A$23:$D$27,4,FALSE),0)+IFERROR(VLOOKUP(I2,'장비 등급별 옵션'!$A$30:$D$34,4,FALSE),0)+IFERROR(VLOOKUP(J2,'장비 등급별 옵션'!$J$2:$N$6,4,FALSE),0)+IFERROR(VLOOKUP(K2,'장비 등급별 옵션'!$J$9:$N$13,4,FALSE),0)+IFERROR(VLOOKUP(L2,'장비 등급별 옵션'!$J$16:$N$20,4,FALSE),0)+IFERROR(VLOOKUP(M2,'장비 등급별 옵션'!$J$23:$N$27,4,FALSE),0)+IFERROR(VLOOKUP(N2,'장비 등급별 옵션'!$J$30:$N$34,4,FALSE),0)+IFERROR(VLOOKUP(O2,'장비 등급별 옵션'!$J$37:$N$40,4,FALSE),0)</f>
        <v>130</v>
      </c>
      <c r="V2" s="15">
        <f>IFERROR(VLOOKUP(E2,'장비 등급별 옵션'!$A$2:$D$6,5,FALSE),0)+IFERROR(VLOOKUP(F2,'장비 등급별 옵션'!$A$9:$D$13,5,FALSE),0)+IFERROR(VLOOKUP(G2,'장비 등급별 옵션'!$A$16:$D$20,5,FALSE),0)+IFERROR(VLOOKUP(H2,'장비 등급별 옵션'!$A$23:$D$27,5,FALSE),0)+IFERROR(VLOOKUP(I2,'장비 등급별 옵션'!$A$30:$D$34,5,FALSE),0)+IFERROR(VLOOKUP(J2,'장비 등급별 옵션'!$J$2:$N$6,5,FALSE),0)+IFERROR(VLOOKUP(K2,'장비 등급별 옵션'!$J$9:$N$13,5,FALSE),0)+IFERROR(VLOOKUP(L2,'장비 등급별 옵션'!$J$16:$N$20,5,FALSE),0)+IFERROR(VLOOKUP(M2,'장비 등급별 옵션'!$J$23:$N$27,5,FALSE),0)+IFERROR(VLOOKUP(N2,'장비 등급별 옵션'!$J$30:$N$34,5,FALSE),0)+IFERROR(VLOOKUP(O2,'장비 등급별 옵션'!$J$37:$N$40,5,FALSE),0)</f>
        <v>15</v>
      </c>
      <c r="W2" s="14">
        <f>IFERROR(VLOOKUP(E2,'장비 등급별 옵션'!$A$2:$H$6,5,FALSE),0)+IFERROR(VLOOKUP(F2,'장비 등급별 옵션'!$A$9:$H$13,5,FALSE),0)+IFERROR(VLOOKUP(G2,'장비 등급별 옵션'!$A$16:$H$20,5,FALSE),0)+IFERROR(VLOOKUP(H2,'장비 등급별 옵션'!$A$23:$H$27,5,FALSE),0)+IFERROR(VLOOKUP(I2,'장비 등급별 옵션'!$A$30:$H$34,5,FALSE),0)+IFERROR(VLOOKUP(J2,'장비 등급별 옵션'!$J$2:$R$6,6,FALSE),0)+IFERROR(VLOOKUP(K2,'장비 등급별 옵션'!$J$9:$R$13,6,FALSE),0)+IFERROR(VLOOKUP(L2,'장비 등급별 옵션'!$J$16:$R$20,6,FALSE),0)+IFERROR(VLOOKUP(M2,'장비 등급별 옵션'!$J$23:$R$27,6,FALSE),0)+IFERROR(VLOOKUP(N2,'장비 등급별 옵션'!$J$30:$R$34,6,FALSE),0)+IFERROR(VLOOKUP(O2,'장비 등급별 옵션'!$J$37:$R$40,6,FALSE),0)</f>
        <v>1572</v>
      </c>
      <c r="X2" s="16">
        <f t="shared" ref="X2:X22" si="2">(S2*((1.05+U2*0.0045)/1.05))/($S$25*((1.05+$U$25*0.0045)/1.05))</f>
        <v>0.50984421002837466</v>
      </c>
      <c r="Y2" s="16">
        <f t="shared" ref="Y2:Y22" si="3">IF($C$27="","",(1+($C$27+T2-$T$25+P2-$P$25)/100)/(1+$C$27/100))</f>
        <v>0.68264423347002978</v>
      </c>
      <c r="Z2" s="16">
        <f t="shared" ref="Z2:Z22" si="4">IF(OR(D2="",$D$25="",$Q$25=""),"",(1+(D2+168350+297900+TRUNC(3.08*(D2-$Q$25)+2886))/250)/(1+($D$25+168350+297900+TRUNC(3.08*($D$25-$Q$25)+2886))/250))</f>
        <v>0.9987857632258561</v>
      </c>
      <c r="AA2" s="15">
        <f t="shared" ref="AA2:AA22" si="5">IF(OR(C2="",X2="",Y2="",Z2=""),"",C2/X2/Y2/Z2)</f>
        <v>2068.3528521382154</v>
      </c>
      <c r="AB2" s="16">
        <f t="shared" ref="AB2:AB22" si="6">IF(OR(C2="",$C$25=""),"",C2/$C$25)</f>
        <v>5.2646994215420663E-2</v>
      </c>
      <c r="AC2" s="16">
        <f t="shared" ref="AC2:AC22" si="7">IF(OR(AB2="",X2="",Y2="",Z2=""),"",AB2/X2/Y2/Z2)</f>
        <v>0.15145001480107018</v>
      </c>
      <c r="AD2" s="16">
        <f t="shared" ref="AD2:AD22" si="8">IF(R2="","",ROUND(R2,1))</f>
        <v>4</v>
      </c>
      <c r="AE2" s="14">
        <f t="shared" ref="AE2:AE22" si="9">IF(OR($C$25="",X2="",Y2="",Z2="",AC2=""),"",ROUND($C$25*X2*Y2*Z2*AC2,0))</f>
        <v>719</v>
      </c>
      <c r="AF2" s="14">
        <f t="shared" ref="AF2:AF22" si="10">IF(OR(AE2="",C2=""),"",AE2-C2)</f>
        <v>0</v>
      </c>
    </row>
    <row r="3" spans="1:32" ht="16.5" customHeight="1">
      <c r="A3" s="10" t="s">
        <v>35</v>
      </c>
      <c r="B3" s="10">
        <v>830</v>
      </c>
      <c r="C3" s="10">
        <v>747</v>
      </c>
      <c r="D3" s="14">
        <f t="shared" si="0"/>
        <v>6306</v>
      </c>
      <c r="E3" s="10" t="s">
        <v>33</v>
      </c>
      <c r="F3" s="10" t="s">
        <v>34</v>
      </c>
      <c r="G3" s="10" t="s">
        <v>34</v>
      </c>
      <c r="H3" s="10" t="s">
        <v>34</v>
      </c>
      <c r="I3" s="10" t="s">
        <v>34</v>
      </c>
      <c r="J3" s="10" t="s">
        <v>34</v>
      </c>
      <c r="K3" s="10" t="s">
        <v>34</v>
      </c>
      <c r="L3" s="10" t="s">
        <v>34</v>
      </c>
      <c r="M3" s="10" t="s">
        <v>34</v>
      </c>
      <c r="N3" s="10" t="s">
        <v>34</v>
      </c>
      <c r="O3" s="10" t="s">
        <v>34</v>
      </c>
      <c r="P3" s="10">
        <v>0</v>
      </c>
      <c r="Q3" s="16">
        <f t="shared" ref="Q3:Q22" si="11">IF(OR(R3="",R2=""),"",((1+R3/100)/(1+R2/100)-1)*100)</f>
        <v>3.8942976356050041</v>
      </c>
      <c r="R3" s="16">
        <f t="shared" si="1"/>
        <v>8.0500695410292025</v>
      </c>
      <c r="S3" s="15">
        <f>(1+IFERROR(VLOOKUP(E3,'장비 등급별 옵션'!$A$2:$D$6,3,FALSE),0)/100)*(1+IFERROR(VLOOKUP(F3,'장비 등급별 옵션'!$A$9:$D$13,3,FALSE),0)/100)*(1+IFERROR(VLOOKUP(G3,'장비 등급별 옵션'!$A$16:$D$20,3,FALSE),0)/100)*(1+IFERROR(VLOOKUP(H3,'장비 등급별 옵션'!$A$23:$D$27,3,FALSE),0)/100)*(1+IFERROR(VLOOKUP(I3,'장비 등급별 옵션'!$A$30:$D$34,3,FALSE),0)/100)*(1+IFERROR(VLOOKUP(J3,'장비 등급별 옵션'!$J$2:$N$6,3,FALSE),0)/100)*(1+IFERROR(VLOOKUP(K3,'장비 등급별 옵션'!$J$9:$N$13,3,FALSE),0)/100)*(1+IFERROR(VLOOKUP(L3,'장비 등급별 옵션'!$J$16:$N$20,3,FALSE),0)/100)*(1+IFERROR(VLOOKUP(M3,'장비 등급별 옵션'!$J$23:$N$27,3,FALSE),0)/100)*(1+IFERROR(VLOOKUP(N3,'장비 등급별 옵션'!$J$30:$N$34,3,FALSE),0)/100)*(1+IFERROR(VLOOKUP(O3,'장비 등급별 옵션'!$J$37:$N$40,3,FALSE),0)/100)</f>
        <v>68.080796783999986</v>
      </c>
      <c r="T3" s="15">
        <f>IFERROR(VLOOKUP(E3,'장비 등급별 옵션'!$A$2:$D$6,2,FALSE),0)+IFERROR(VLOOKUP(F3,'장비 등급별 옵션'!$A$9:$D$13,2,FALSE),0)+IFERROR(VLOOKUP(G3,'장비 등급별 옵션'!$A$16:$D$20,2,FALSE),0)+IFERROR(VLOOKUP(H3,'장비 등급별 옵션'!$A$23:$D$27,2,FALSE),0)+IFERROR(VLOOKUP(I3,'장비 등급별 옵션'!$A$30:$D$34,2,FALSE),0)+IFERROR(VLOOKUP(J3,'장비 등급별 옵션'!$J$2:$N$6,2,FALSE),0)+IFERROR(VLOOKUP(K3,'장비 등급별 옵션'!$J$9:$N$13,2,FALSE),0)+IFERROR(VLOOKUP(L3,'장비 등급별 옵션'!$J$16:$N$20,2,FALSE),0)+IFERROR(VLOOKUP(M3,'장비 등급별 옵션'!$J$23:$N$27,2,FALSE),0)+IFERROR(VLOOKUP(N3,'장비 등급별 옵션'!$J$30:$N$34,2,FALSE),0)+IFERROR(VLOOKUP(O3,'장비 등급별 옵션'!$J$37:$N$40,2,FALSE),0)</f>
        <v>24189</v>
      </c>
      <c r="U3" s="15">
        <f>IFERROR(VLOOKUP(E3,'장비 등급별 옵션'!$A$2:$D$6,4,FALSE),0)+IFERROR(VLOOKUP(F3,'장비 등급별 옵션'!$A$9:$D$13,4,FALSE),0)+IFERROR(VLOOKUP(G3,'장비 등급별 옵션'!$A$16:$D$20,4,FALSE),0)+IFERROR(VLOOKUP(H3,'장비 등급별 옵션'!$A$23:$D$27,4,FALSE),0)+IFERROR(VLOOKUP(I3,'장비 등급별 옵션'!$A$30:$D$34,4,FALSE),0)+IFERROR(VLOOKUP(J3,'장비 등급별 옵션'!$J$2:$N$6,4,FALSE),0)+IFERROR(VLOOKUP(K3,'장비 등급별 옵션'!$J$9:$N$13,4,FALSE),0)+IFERROR(VLOOKUP(L3,'장비 등급별 옵션'!$J$16:$N$20,4,FALSE),0)+IFERROR(VLOOKUP(M3,'장비 등급별 옵션'!$J$23:$N$27,4,FALSE),0)+IFERROR(VLOOKUP(N3,'장비 등급별 옵션'!$J$30:$N$34,4,FALSE),0)+IFERROR(VLOOKUP(O3,'장비 등급별 옵션'!$J$37:$N$40,4,FALSE),0)</f>
        <v>130</v>
      </c>
      <c r="V3" s="15">
        <f>IFERROR(VLOOKUP(E3,'장비 등급별 옵션'!$A$2:$D$6,5,FALSE),0)+IFERROR(VLOOKUP(F3,'장비 등급별 옵션'!$A$9:$D$13,5,FALSE),0)+IFERROR(VLOOKUP(G3,'장비 등급별 옵션'!$A$16:$D$20,5,FALSE),0)+IFERROR(VLOOKUP(H3,'장비 등급별 옵션'!$A$23:$D$27,5,FALSE),0)+IFERROR(VLOOKUP(I3,'장비 등급별 옵션'!$A$30:$D$34,5,FALSE),0)+IFERROR(VLOOKUP(J3,'장비 등급별 옵션'!$J$2:$N$6,5,FALSE),0)+IFERROR(VLOOKUP(K3,'장비 등급별 옵션'!$J$9:$N$13,5,FALSE),0)+IFERROR(VLOOKUP(L3,'장비 등급별 옵션'!$J$16:$N$20,5,FALSE),0)+IFERROR(VLOOKUP(M3,'장비 등급별 옵션'!$J$23:$N$27,5,FALSE),0)+IFERROR(VLOOKUP(N3,'장비 등급별 옵션'!$J$30:$N$34,5,FALSE),0)+IFERROR(VLOOKUP(O3,'장비 등급별 옵션'!$J$37:$N$40,5,FALSE),0)</f>
        <v>15</v>
      </c>
      <c r="W3" s="14">
        <f>IFERROR(VLOOKUP(E3,'장비 등급별 옵션'!$A$2:$H$6,5,FALSE),0)+IFERROR(VLOOKUP(F3,'장비 등급별 옵션'!$A$9:$H$13,5,FALSE),0)+IFERROR(VLOOKUP(G3,'장비 등급별 옵션'!$A$16:$H$20,5,FALSE),0)+IFERROR(VLOOKUP(H3,'장비 등급별 옵션'!$A$23:$H$27,5,FALSE),0)+IFERROR(VLOOKUP(I3,'장비 등급별 옵션'!$A$30:$H$34,5,FALSE),0)+IFERROR(VLOOKUP(J3,'장비 등급별 옵션'!$J$2:$R$6,6,FALSE),0)+IFERROR(VLOOKUP(K3,'장비 등급별 옵션'!$J$9:$R$13,6,FALSE),0)+IFERROR(VLOOKUP(L3,'장비 등급별 옵션'!$J$16:$R$20,6,FALSE),0)+IFERROR(VLOOKUP(M3,'장비 등급별 옵션'!$J$23:$R$27,6,FALSE),0)+IFERROR(VLOOKUP(N3,'장비 등급별 옵션'!$J$30:$R$34,6,FALSE),0)+IFERROR(VLOOKUP(O3,'장비 등급별 옵션'!$J$37:$R$40,6,FALSE),0)</f>
        <v>1572</v>
      </c>
      <c r="X3" s="16">
        <f t="shared" si="2"/>
        <v>0.50984421002837466</v>
      </c>
      <c r="Y3" s="16">
        <f t="shared" si="3"/>
        <v>0.68264423347002978</v>
      </c>
      <c r="Z3" s="16">
        <f t="shared" si="4"/>
        <v>0.9987857632258561</v>
      </c>
      <c r="AA3" s="15">
        <f t="shared" si="5"/>
        <v>2148.9006683550028</v>
      </c>
      <c r="AB3" s="16">
        <f t="shared" si="6"/>
        <v>5.4697224866368896E-2</v>
      </c>
      <c r="AC3" s="16">
        <f t="shared" si="7"/>
        <v>0.15734792914659168</v>
      </c>
      <c r="AD3" s="16">
        <f t="shared" si="8"/>
        <v>8.1</v>
      </c>
      <c r="AE3" s="14">
        <f t="shared" si="9"/>
        <v>747</v>
      </c>
      <c r="AF3" s="14">
        <f t="shared" si="10"/>
        <v>0</v>
      </c>
    </row>
    <row r="4" spans="1:32" ht="16.5" customHeight="1">
      <c r="A4" s="10" t="s">
        <v>36</v>
      </c>
      <c r="B4" s="10">
        <v>910</v>
      </c>
      <c r="C4" s="10">
        <v>775</v>
      </c>
      <c r="D4" s="14">
        <f t="shared" si="0"/>
        <v>6306</v>
      </c>
      <c r="E4" s="10" t="s">
        <v>33</v>
      </c>
      <c r="F4" s="10" t="s">
        <v>34</v>
      </c>
      <c r="G4" s="10" t="s">
        <v>34</v>
      </c>
      <c r="H4" s="10" t="s">
        <v>34</v>
      </c>
      <c r="I4" s="10" t="s">
        <v>34</v>
      </c>
      <c r="J4" s="10" t="s">
        <v>34</v>
      </c>
      <c r="K4" s="10" t="s">
        <v>34</v>
      </c>
      <c r="L4" s="10" t="s">
        <v>34</v>
      </c>
      <c r="M4" s="10" t="s">
        <v>34</v>
      </c>
      <c r="N4" s="10" t="s">
        <v>34</v>
      </c>
      <c r="O4" s="10" t="s">
        <v>34</v>
      </c>
      <c r="P4" s="10">
        <v>0</v>
      </c>
      <c r="Q4" s="16">
        <f t="shared" si="11"/>
        <v>3.7483266398929072</v>
      </c>
      <c r="R4" s="16">
        <f t="shared" si="1"/>
        <v>12.100139082058403</v>
      </c>
      <c r="S4" s="15">
        <f>(1+IFERROR(VLOOKUP(E4,'장비 등급별 옵션'!$A$2:$D$6,3,FALSE),0)/100)*(1+IFERROR(VLOOKUP(F4,'장비 등급별 옵션'!$A$9:$D$13,3,FALSE),0)/100)*(1+IFERROR(VLOOKUP(G4,'장비 등급별 옵션'!$A$16:$D$20,3,FALSE),0)/100)*(1+IFERROR(VLOOKUP(H4,'장비 등급별 옵션'!$A$23:$D$27,3,FALSE),0)/100)*(1+IFERROR(VLOOKUP(I4,'장비 등급별 옵션'!$A$30:$D$34,3,FALSE),0)/100)*(1+IFERROR(VLOOKUP(J4,'장비 등급별 옵션'!$J$2:$N$6,3,FALSE),0)/100)*(1+IFERROR(VLOOKUP(K4,'장비 등급별 옵션'!$J$9:$N$13,3,FALSE),0)/100)*(1+IFERROR(VLOOKUP(L4,'장비 등급별 옵션'!$J$16:$N$20,3,FALSE),0)/100)*(1+IFERROR(VLOOKUP(M4,'장비 등급별 옵션'!$J$23:$N$27,3,FALSE),0)/100)*(1+IFERROR(VLOOKUP(N4,'장비 등급별 옵션'!$J$30:$N$34,3,FALSE),0)/100)*(1+IFERROR(VLOOKUP(O4,'장비 등급별 옵션'!$J$37:$N$40,3,FALSE),0)/100)</f>
        <v>68.080796783999986</v>
      </c>
      <c r="T4" s="15">
        <f>IFERROR(VLOOKUP(E4,'장비 등급별 옵션'!$A$2:$D$6,2,FALSE),0)+IFERROR(VLOOKUP(F4,'장비 등급별 옵션'!$A$9:$D$13,2,FALSE),0)+IFERROR(VLOOKUP(G4,'장비 등급별 옵션'!$A$16:$D$20,2,FALSE),0)+IFERROR(VLOOKUP(H4,'장비 등급별 옵션'!$A$23:$D$27,2,FALSE),0)+IFERROR(VLOOKUP(I4,'장비 등급별 옵션'!$A$30:$D$34,2,FALSE),0)+IFERROR(VLOOKUP(J4,'장비 등급별 옵션'!$J$2:$N$6,2,FALSE),0)+IFERROR(VLOOKUP(K4,'장비 등급별 옵션'!$J$9:$N$13,2,FALSE),0)+IFERROR(VLOOKUP(L4,'장비 등급별 옵션'!$J$16:$N$20,2,FALSE),0)+IFERROR(VLOOKUP(M4,'장비 등급별 옵션'!$J$23:$N$27,2,FALSE),0)+IFERROR(VLOOKUP(N4,'장비 등급별 옵션'!$J$30:$N$34,2,FALSE),0)+IFERROR(VLOOKUP(O4,'장비 등급별 옵션'!$J$37:$N$40,2,FALSE),0)</f>
        <v>24189</v>
      </c>
      <c r="U4" s="15">
        <f>IFERROR(VLOOKUP(E4,'장비 등급별 옵션'!$A$2:$D$6,4,FALSE),0)+IFERROR(VLOOKUP(F4,'장비 등급별 옵션'!$A$9:$D$13,4,FALSE),0)+IFERROR(VLOOKUP(G4,'장비 등급별 옵션'!$A$16:$D$20,4,FALSE),0)+IFERROR(VLOOKUP(H4,'장비 등급별 옵션'!$A$23:$D$27,4,FALSE),0)+IFERROR(VLOOKUP(I4,'장비 등급별 옵션'!$A$30:$D$34,4,FALSE),0)+IFERROR(VLOOKUP(J4,'장비 등급별 옵션'!$J$2:$N$6,4,FALSE),0)+IFERROR(VLOOKUP(K4,'장비 등급별 옵션'!$J$9:$N$13,4,FALSE),0)+IFERROR(VLOOKUP(L4,'장비 등급별 옵션'!$J$16:$N$20,4,FALSE),0)+IFERROR(VLOOKUP(M4,'장비 등급별 옵션'!$J$23:$N$27,4,FALSE),0)+IFERROR(VLOOKUP(N4,'장비 등급별 옵션'!$J$30:$N$34,4,FALSE),0)+IFERROR(VLOOKUP(O4,'장비 등급별 옵션'!$J$37:$N$40,4,FALSE),0)</f>
        <v>130</v>
      </c>
      <c r="V4" s="15">
        <f>IFERROR(VLOOKUP(E4,'장비 등급별 옵션'!$A$2:$D$6,5,FALSE),0)+IFERROR(VLOOKUP(F4,'장비 등급별 옵션'!$A$9:$D$13,5,FALSE),0)+IFERROR(VLOOKUP(G4,'장비 등급별 옵션'!$A$16:$D$20,5,FALSE),0)+IFERROR(VLOOKUP(H4,'장비 등급별 옵션'!$A$23:$D$27,5,FALSE),0)+IFERROR(VLOOKUP(I4,'장비 등급별 옵션'!$A$30:$D$34,5,FALSE),0)+IFERROR(VLOOKUP(J4,'장비 등급별 옵션'!$J$2:$N$6,5,FALSE),0)+IFERROR(VLOOKUP(K4,'장비 등급별 옵션'!$J$9:$N$13,5,FALSE),0)+IFERROR(VLOOKUP(L4,'장비 등급별 옵션'!$J$16:$N$20,5,FALSE),0)+IFERROR(VLOOKUP(M4,'장비 등급별 옵션'!$J$23:$N$27,5,FALSE),0)+IFERROR(VLOOKUP(N4,'장비 등급별 옵션'!$J$30:$N$34,5,FALSE),0)+IFERROR(VLOOKUP(O4,'장비 등급별 옵션'!$J$37:$N$40,5,FALSE),0)</f>
        <v>15</v>
      </c>
      <c r="W4" s="14">
        <f>IFERROR(VLOOKUP(E4,'장비 등급별 옵션'!$A$2:$H$6,5,FALSE),0)+IFERROR(VLOOKUP(F4,'장비 등급별 옵션'!$A$9:$H$13,5,FALSE),0)+IFERROR(VLOOKUP(G4,'장비 등급별 옵션'!$A$16:$H$20,5,FALSE),0)+IFERROR(VLOOKUP(H4,'장비 등급별 옵션'!$A$23:$H$27,5,FALSE),0)+IFERROR(VLOOKUP(I4,'장비 등급별 옵션'!$A$30:$H$34,5,FALSE),0)+IFERROR(VLOOKUP(J4,'장비 등급별 옵션'!$J$2:$R$6,6,FALSE),0)+IFERROR(VLOOKUP(K4,'장비 등급별 옵션'!$J$9:$R$13,6,FALSE),0)+IFERROR(VLOOKUP(L4,'장비 등급별 옵션'!$J$16:$R$20,6,FALSE),0)+IFERROR(VLOOKUP(M4,'장비 등급별 옵션'!$J$23:$R$27,6,FALSE),0)+IFERROR(VLOOKUP(N4,'장비 등급별 옵션'!$J$30:$R$34,6,FALSE),0)+IFERROR(VLOOKUP(O4,'장비 등급별 옵션'!$J$37:$R$40,6,FALSE),0)</f>
        <v>1572</v>
      </c>
      <c r="X4" s="16">
        <f t="shared" si="2"/>
        <v>0.50984421002837466</v>
      </c>
      <c r="Y4" s="16">
        <f t="shared" si="3"/>
        <v>0.68264423347002978</v>
      </c>
      <c r="Z4" s="16">
        <f t="shared" si="4"/>
        <v>0.9987857632258561</v>
      </c>
      <c r="AA4" s="15">
        <f t="shared" si="5"/>
        <v>2229.4484845717898</v>
      </c>
      <c r="AB4" s="16">
        <f t="shared" si="6"/>
        <v>5.6747455517317129E-2</v>
      </c>
      <c r="AC4" s="16">
        <f t="shared" si="7"/>
        <v>0.16324584349211319</v>
      </c>
      <c r="AD4" s="16">
        <f t="shared" si="8"/>
        <v>12.1</v>
      </c>
      <c r="AE4" s="14">
        <f t="shared" si="9"/>
        <v>775</v>
      </c>
      <c r="AF4" s="14">
        <f t="shared" si="10"/>
        <v>0</v>
      </c>
    </row>
    <row r="5" spans="1:32" ht="16.5" customHeight="1">
      <c r="A5" s="10" t="s">
        <v>37</v>
      </c>
      <c r="B5" s="10">
        <v>990</v>
      </c>
      <c r="C5" s="10">
        <v>802</v>
      </c>
      <c r="D5" s="14">
        <f t="shared" si="0"/>
        <v>6306</v>
      </c>
      <c r="E5" s="10" t="s">
        <v>33</v>
      </c>
      <c r="F5" s="10" t="s">
        <v>34</v>
      </c>
      <c r="G5" s="10" t="s">
        <v>34</v>
      </c>
      <c r="H5" s="10" t="s">
        <v>34</v>
      </c>
      <c r="I5" s="10" t="s">
        <v>34</v>
      </c>
      <c r="J5" s="10" t="s">
        <v>34</v>
      </c>
      <c r="K5" s="10" t="s">
        <v>34</v>
      </c>
      <c r="L5" s="10" t="s">
        <v>34</v>
      </c>
      <c r="M5" s="10" t="s">
        <v>34</v>
      </c>
      <c r="N5" s="10" t="s">
        <v>34</v>
      </c>
      <c r="O5" s="10" t="s">
        <v>34</v>
      </c>
      <c r="P5" s="10">
        <v>0</v>
      </c>
      <c r="Q5" s="16">
        <f t="shared" si="11"/>
        <v>3.48387096774192</v>
      </c>
      <c r="R5" s="16">
        <f t="shared" si="1"/>
        <v>16.005563282336553</v>
      </c>
      <c r="S5" s="15">
        <f>(1+IFERROR(VLOOKUP(E5,'장비 등급별 옵션'!$A$2:$D$6,3,FALSE),0)/100)*(1+IFERROR(VLOOKUP(F5,'장비 등급별 옵션'!$A$9:$D$13,3,FALSE),0)/100)*(1+IFERROR(VLOOKUP(G5,'장비 등급별 옵션'!$A$16:$D$20,3,FALSE),0)/100)*(1+IFERROR(VLOOKUP(H5,'장비 등급별 옵션'!$A$23:$D$27,3,FALSE),0)/100)*(1+IFERROR(VLOOKUP(I5,'장비 등급별 옵션'!$A$30:$D$34,3,FALSE),0)/100)*(1+IFERROR(VLOOKUP(J5,'장비 등급별 옵션'!$J$2:$N$6,3,FALSE),0)/100)*(1+IFERROR(VLOOKUP(K5,'장비 등급별 옵션'!$J$9:$N$13,3,FALSE),0)/100)*(1+IFERROR(VLOOKUP(L5,'장비 등급별 옵션'!$J$16:$N$20,3,FALSE),0)/100)*(1+IFERROR(VLOOKUP(M5,'장비 등급별 옵션'!$J$23:$N$27,3,FALSE),0)/100)*(1+IFERROR(VLOOKUP(N5,'장비 등급별 옵션'!$J$30:$N$34,3,FALSE),0)/100)*(1+IFERROR(VLOOKUP(O5,'장비 등급별 옵션'!$J$37:$N$40,3,FALSE),0)/100)</f>
        <v>68.080796783999986</v>
      </c>
      <c r="T5" s="15">
        <f>IFERROR(VLOOKUP(E5,'장비 등급별 옵션'!$A$2:$D$6,2,FALSE),0)+IFERROR(VLOOKUP(F5,'장비 등급별 옵션'!$A$9:$D$13,2,FALSE),0)+IFERROR(VLOOKUP(G5,'장비 등급별 옵션'!$A$16:$D$20,2,FALSE),0)+IFERROR(VLOOKUP(H5,'장비 등급별 옵션'!$A$23:$D$27,2,FALSE),0)+IFERROR(VLOOKUP(I5,'장비 등급별 옵션'!$A$30:$D$34,2,FALSE),0)+IFERROR(VLOOKUP(J5,'장비 등급별 옵션'!$J$2:$N$6,2,FALSE),0)+IFERROR(VLOOKUP(K5,'장비 등급별 옵션'!$J$9:$N$13,2,FALSE),0)+IFERROR(VLOOKUP(L5,'장비 등급별 옵션'!$J$16:$N$20,2,FALSE),0)+IFERROR(VLOOKUP(M5,'장비 등급별 옵션'!$J$23:$N$27,2,FALSE),0)+IFERROR(VLOOKUP(N5,'장비 등급별 옵션'!$J$30:$N$34,2,FALSE),0)+IFERROR(VLOOKUP(O5,'장비 등급별 옵션'!$J$37:$N$40,2,FALSE),0)</f>
        <v>24189</v>
      </c>
      <c r="U5" s="15">
        <f>IFERROR(VLOOKUP(E5,'장비 등급별 옵션'!$A$2:$D$6,4,FALSE),0)+IFERROR(VLOOKUP(F5,'장비 등급별 옵션'!$A$9:$D$13,4,FALSE),0)+IFERROR(VLOOKUP(G5,'장비 등급별 옵션'!$A$16:$D$20,4,FALSE),0)+IFERROR(VLOOKUP(H5,'장비 등급별 옵션'!$A$23:$D$27,4,FALSE),0)+IFERROR(VLOOKUP(I5,'장비 등급별 옵션'!$A$30:$D$34,4,FALSE),0)+IFERROR(VLOOKUP(J5,'장비 등급별 옵션'!$J$2:$N$6,4,FALSE),0)+IFERROR(VLOOKUP(K5,'장비 등급별 옵션'!$J$9:$N$13,4,FALSE),0)+IFERROR(VLOOKUP(L5,'장비 등급별 옵션'!$J$16:$N$20,4,FALSE),0)+IFERROR(VLOOKUP(M5,'장비 등급별 옵션'!$J$23:$N$27,4,FALSE),0)+IFERROR(VLOOKUP(N5,'장비 등급별 옵션'!$J$30:$N$34,4,FALSE),0)+IFERROR(VLOOKUP(O5,'장비 등급별 옵션'!$J$37:$N$40,4,FALSE),0)</f>
        <v>130</v>
      </c>
      <c r="V5" s="15">
        <f>IFERROR(VLOOKUP(E5,'장비 등급별 옵션'!$A$2:$D$6,5,FALSE),0)+IFERROR(VLOOKUP(F5,'장비 등급별 옵션'!$A$9:$D$13,5,FALSE),0)+IFERROR(VLOOKUP(G5,'장비 등급별 옵션'!$A$16:$D$20,5,FALSE),0)+IFERROR(VLOOKUP(H5,'장비 등급별 옵션'!$A$23:$D$27,5,FALSE),0)+IFERROR(VLOOKUP(I5,'장비 등급별 옵션'!$A$30:$D$34,5,FALSE),0)+IFERROR(VLOOKUP(J5,'장비 등급별 옵션'!$J$2:$N$6,5,FALSE),0)+IFERROR(VLOOKUP(K5,'장비 등급별 옵션'!$J$9:$N$13,5,FALSE),0)+IFERROR(VLOOKUP(L5,'장비 등급별 옵션'!$J$16:$N$20,5,FALSE),0)+IFERROR(VLOOKUP(M5,'장비 등급별 옵션'!$J$23:$N$27,5,FALSE),0)+IFERROR(VLOOKUP(N5,'장비 등급별 옵션'!$J$30:$N$34,5,FALSE),0)+IFERROR(VLOOKUP(O5,'장비 등급별 옵션'!$J$37:$N$40,5,FALSE),0)</f>
        <v>15</v>
      </c>
      <c r="W5" s="14">
        <f>IFERROR(VLOOKUP(E5,'장비 등급별 옵션'!$A$2:$H$6,5,FALSE),0)+IFERROR(VLOOKUP(F5,'장비 등급별 옵션'!$A$9:$H$13,5,FALSE),0)+IFERROR(VLOOKUP(G5,'장비 등급별 옵션'!$A$16:$H$20,5,FALSE),0)+IFERROR(VLOOKUP(H5,'장비 등급별 옵션'!$A$23:$H$27,5,FALSE),0)+IFERROR(VLOOKUP(I5,'장비 등급별 옵션'!$A$30:$H$34,5,FALSE),0)+IFERROR(VLOOKUP(J5,'장비 등급별 옵션'!$J$2:$R$6,6,FALSE),0)+IFERROR(VLOOKUP(K5,'장비 등급별 옵션'!$J$9:$R$13,6,FALSE),0)+IFERROR(VLOOKUP(L5,'장비 등급별 옵션'!$J$16:$R$20,6,FALSE),0)+IFERROR(VLOOKUP(M5,'장비 등급별 옵션'!$J$23:$R$27,6,FALSE),0)+IFERROR(VLOOKUP(N5,'장비 등급별 옵션'!$J$30:$R$34,6,FALSE),0)+IFERROR(VLOOKUP(O5,'장비 등급별 옵션'!$J$37:$R$40,6,FALSE),0)</f>
        <v>1572</v>
      </c>
      <c r="X5" s="16">
        <f t="shared" si="2"/>
        <v>0.50984421002837466</v>
      </c>
      <c r="Y5" s="16">
        <f t="shared" si="3"/>
        <v>0.68264423347002978</v>
      </c>
      <c r="Z5" s="16">
        <f t="shared" si="4"/>
        <v>0.9987857632258561</v>
      </c>
      <c r="AA5" s="15">
        <f t="shared" si="5"/>
        <v>2307.119593066549</v>
      </c>
      <c r="AB5" s="16">
        <f t="shared" si="6"/>
        <v>5.8724463645017204E-2</v>
      </c>
      <c r="AC5" s="16">
        <f t="shared" si="7"/>
        <v>0.16893311803958033</v>
      </c>
      <c r="AD5" s="16">
        <f t="shared" si="8"/>
        <v>16</v>
      </c>
      <c r="AE5" s="14">
        <f t="shared" si="9"/>
        <v>802</v>
      </c>
      <c r="AF5" s="14">
        <f t="shared" si="10"/>
        <v>0</v>
      </c>
    </row>
    <row r="6" spans="1:32" ht="16.5" customHeight="1">
      <c r="A6" s="10" t="s">
        <v>38</v>
      </c>
      <c r="B6" s="10">
        <v>1070</v>
      </c>
      <c r="C6" s="10">
        <v>830</v>
      </c>
      <c r="D6" s="14">
        <f t="shared" si="0"/>
        <v>6306</v>
      </c>
      <c r="E6" s="10" t="s">
        <v>33</v>
      </c>
      <c r="F6" s="10" t="s">
        <v>34</v>
      </c>
      <c r="G6" s="10" t="s">
        <v>34</v>
      </c>
      <c r="H6" s="10" t="s">
        <v>34</v>
      </c>
      <c r="I6" s="10" t="s">
        <v>34</v>
      </c>
      <c r="J6" s="10" t="s">
        <v>34</v>
      </c>
      <c r="K6" s="10" t="s">
        <v>34</v>
      </c>
      <c r="L6" s="10" t="s">
        <v>34</v>
      </c>
      <c r="M6" s="10" t="s">
        <v>34</v>
      </c>
      <c r="N6" s="10" t="s">
        <v>34</v>
      </c>
      <c r="O6" s="10" t="s">
        <v>34</v>
      </c>
      <c r="P6" s="10">
        <v>0</v>
      </c>
      <c r="Q6" s="16">
        <f t="shared" si="11"/>
        <v>3.4912718204488824</v>
      </c>
      <c r="R6" s="16">
        <f t="shared" si="1"/>
        <v>20.055632823365777</v>
      </c>
      <c r="S6" s="15">
        <f>(1+IFERROR(VLOOKUP(E6,'장비 등급별 옵션'!$A$2:$D$6,3,FALSE),0)/100)*(1+IFERROR(VLOOKUP(F6,'장비 등급별 옵션'!$A$9:$D$13,3,FALSE),0)/100)*(1+IFERROR(VLOOKUP(G6,'장비 등급별 옵션'!$A$16:$D$20,3,FALSE),0)/100)*(1+IFERROR(VLOOKUP(H6,'장비 등급별 옵션'!$A$23:$D$27,3,FALSE),0)/100)*(1+IFERROR(VLOOKUP(I6,'장비 등급별 옵션'!$A$30:$D$34,3,FALSE),0)/100)*(1+IFERROR(VLOOKUP(J6,'장비 등급별 옵션'!$J$2:$N$6,3,FALSE),0)/100)*(1+IFERROR(VLOOKUP(K6,'장비 등급별 옵션'!$J$9:$N$13,3,FALSE),0)/100)*(1+IFERROR(VLOOKUP(L6,'장비 등급별 옵션'!$J$16:$N$20,3,FALSE),0)/100)*(1+IFERROR(VLOOKUP(M6,'장비 등급별 옵션'!$J$23:$N$27,3,FALSE),0)/100)*(1+IFERROR(VLOOKUP(N6,'장비 등급별 옵션'!$J$30:$N$34,3,FALSE),0)/100)*(1+IFERROR(VLOOKUP(O6,'장비 등급별 옵션'!$J$37:$N$40,3,FALSE),0)/100)</f>
        <v>68.080796783999986</v>
      </c>
      <c r="T6" s="15">
        <f>IFERROR(VLOOKUP(E6,'장비 등급별 옵션'!$A$2:$D$6,2,FALSE),0)+IFERROR(VLOOKUP(F6,'장비 등급별 옵션'!$A$9:$D$13,2,FALSE),0)+IFERROR(VLOOKUP(G6,'장비 등급별 옵션'!$A$16:$D$20,2,FALSE),0)+IFERROR(VLOOKUP(H6,'장비 등급별 옵션'!$A$23:$D$27,2,FALSE),0)+IFERROR(VLOOKUP(I6,'장비 등급별 옵션'!$A$30:$D$34,2,FALSE),0)+IFERROR(VLOOKUP(J6,'장비 등급별 옵션'!$J$2:$N$6,2,FALSE),0)+IFERROR(VLOOKUP(K6,'장비 등급별 옵션'!$J$9:$N$13,2,FALSE),0)+IFERROR(VLOOKUP(L6,'장비 등급별 옵션'!$J$16:$N$20,2,FALSE),0)+IFERROR(VLOOKUP(M6,'장비 등급별 옵션'!$J$23:$N$27,2,FALSE),0)+IFERROR(VLOOKUP(N6,'장비 등급별 옵션'!$J$30:$N$34,2,FALSE),0)+IFERROR(VLOOKUP(O6,'장비 등급별 옵션'!$J$37:$N$40,2,FALSE),0)</f>
        <v>24189</v>
      </c>
      <c r="U6" s="15">
        <f>IFERROR(VLOOKUP(E6,'장비 등급별 옵션'!$A$2:$D$6,4,FALSE),0)+IFERROR(VLOOKUP(F6,'장비 등급별 옵션'!$A$9:$D$13,4,FALSE),0)+IFERROR(VLOOKUP(G6,'장비 등급별 옵션'!$A$16:$D$20,4,FALSE),0)+IFERROR(VLOOKUP(H6,'장비 등급별 옵션'!$A$23:$D$27,4,FALSE),0)+IFERROR(VLOOKUP(I6,'장비 등급별 옵션'!$A$30:$D$34,4,FALSE),0)+IFERROR(VLOOKUP(J6,'장비 등급별 옵션'!$J$2:$N$6,4,FALSE),0)+IFERROR(VLOOKUP(K6,'장비 등급별 옵션'!$J$9:$N$13,4,FALSE),0)+IFERROR(VLOOKUP(L6,'장비 등급별 옵션'!$J$16:$N$20,4,FALSE),0)+IFERROR(VLOOKUP(M6,'장비 등급별 옵션'!$J$23:$N$27,4,FALSE),0)+IFERROR(VLOOKUP(N6,'장비 등급별 옵션'!$J$30:$N$34,4,FALSE),0)+IFERROR(VLOOKUP(O6,'장비 등급별 옵션'!$J$37:$N$40,4,FALSE),0)</f>
        <v>130</v>
      </c>
      <c r="V6" s="15">
        <f>IFERROR(VLOOKUP(E6,'장비 등급별 옵션'!$A$2:$D$6,5,FALSE),0)+IFERROR(VLOOKUP(F6,'장비 등급별 옵션'!$A$9:$D$13,5,FALSE),0)+IFERROR(VLOOKUP(G6,'장비 등급별 옵션'!$A$16:$D$20,5,FALSE),0)+IFERROR(VLOOKUP(H6,'장비 등급별 옵션'!$A$23:$D$27,5,FALSE),0)+IFERROR(VLOOKUP(I6,'장비 등급별 옵션'!$A$30:$D$34,5,FALSE),0)+IFERROR(VLOOKUP(J6,'장비 등급별 옵션'!$J$2:$N$6,5,FALSE),0)+IFERROR(VLOOKUP(K6,'장비 등급별 옵션'!$J$9:$N$13,5,FALSE),0)+IFERROR(VLOOKUP(L6,'장비 등급별 옵션'!$J$16:$N$20,5,FALSE),0)+IFERROR(VLOOKUP(M6,'장비 등급별 옵션'!$J$23:$N$27,5,FALSE),0)+IFERROR(VLOOKUP(N6,'장비 등급별 옵션'!$J$30:$N$34,5,FALSE),0)+IFERROR(VLOOKUP(O6,'장비 등급별 옵션'!$J$37:$N$40,5,FALSE),0)</f>
        <v>15</v>
      </c>
      <c r="W6" s="14">
        <f>IFERROR(VLOOKUP(E6,'장비 등급별 옵션'!$A$2:$H$6,5,FALSE),0)+IFERROR(VLOOKUP(F6,'장비 등급별 옵션'!$A$9:$H$13,5,FALSE),0)+IFERROR(VLOOKUP(G6,'장비 등급별 옵션'!$A$16:$H$20,5,FALSE),0)+IFERROR(VLOOKUP(H6,'장비 등급별 옵션'!$A$23:$H$27,5,FALSE),0)+IFERROR(VLOOKUP(I6,'장비 등급별 옵션'!$A$30:$H$34,5,FALSE),0)+IFERROR(VLOOKUP(J6,'장비 등급별 옵션'!$J$2:$R$6,6,FALSE),0)+IFERROR(VLOOKUP(K6,'장비 등급별 옵션'!$J$9:$R$13,6,FALSE),0)+IFERROR(VLOOKUP(L6,'장비 등급별 옵션'!$J$16:$R$20,6,FALSE),0)+IFERROR(VLOOKUP(M6,'장비 등급별 옵션'!$J$23:$R$27,6,FALSE),0)+IFERROR(VLOOKUP(N6,'장비 등급별 옵션'!$J$30:$R$34,6,FALSE),0)+IFERROR(VLOOKUP(O6,'장비 등급별 옵션'!$J$37:$R$40,6,FALSE),0)</f>
        <v>1572</v>
      </c>
      <c r="X6" s="16">
        <f t="shared" si="2"/>
        <v>0.50984421002837466</v>
      </c>
      <c r="Y6" s="16">
        <f t="shared" si="3"/>
        <v>0.68264423347002978</v>
      </c>
      <c r="Z6" s="16">
        <f t="shared" si="4"/>
        <v>0.9987857632258561</v>
      </c>
      <c r="AA6" s="15">
        <f t="shared" si="5"/>
        <v>2387.6674092833364</v>
      </c>
      <c r="AB6" s="16">
        <f t="shared" si="6"/>
        <v>6.0774694295965437E-2</v>
      </c>
      <c r="AC6" s="16">
        <f t="shared" si="7"/>
        <v>0.17483103238510186</v>
      </c>
      <c r="AD6" s="16">
        <f t="shared" si="8"/>
        <v>20.100000000000001</v>
      </c>
      <c r="AE6" s="14">
        <f t="shared" si="9"/>
        <v>830</v>
      </c>
      <c r="AF6" s="14">
        <f t="shared" si="10"/>
        <v>0</v>
      </c>
    </row>
    <row r="7" spans="1:32" ht="16.5" customHeight="1">
      <c r="A7" s="10" t="s">
        <v>39</v>
      </c>
      <c r="B7" s="10">
        <v>1200</v>
      </c>
      <c r="C7" s="10">
        <v>1472</v>
      </c>
      <c r="D7" s="14">
        <f t="shared" si="0"/>
        <v>6322</v>
      </c>
      <c r="E7" s="10" t="s">
        <v>33</v>
      </c>
      <c r="F7" s="10" t="s">
        <v>33</v>
      </c>
      <c r="G7" s="10" t="s">
        <v>33</v>
      </c>
      <c r="H7" s="10" t="s">
        <v>33</v>
      </c>
      <c r="I7" s="10" t="s">
        <v>33</v>
      </c>
      <c r="J7" s="10" t="s">
        <v>33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34</v>
      </c>
      <c r="P7" s="10">
        <v>0</v>
      </c>
      <c r="Q7" s="16">
        <f t="shared" si="11"/>
        <v>23.480211457866741</v>
      </c>
      <c r="R7" s="16">
        <f t="shared" si="1"/>
        <v>48.244949277372129</v>
      </c>
      <c r="S7" s="15">
        <f>(1+IFERROR(VLOOKUP(E7,'장비 등급별 옵션'!$A$2:$D$6,3,FALSE),0)/100)*(1+IFERROR(VLOOKUP(F7,'장비 등급별 옵션'!$A$9:$D$13,3,FALSE),0)/100)*(1+IFERROR(VLOOKUP(G7,'장비 등급별 옵션'!$A$16:$D$20,3,FALSE),0)/100)*(1+IFERROR(VLOOKUP(H7,'장비 등급별 옵션'!$A$23:$D$27,3,FALSE),0)/100)*(1+IFERROR(VLOOKUP(I7,'장비 등급별 옵션'!$A$30:$D$34,3,FALSE),0)/100)*(1+IFERROR(VLOOKUP(J7,'장비 등급별 옵션'!$J$2:$N$6,3,FALSE),0)/100)*(1+IFERROR(VLOOKUP(K7,'장비 등급별 옵션'!$J$9:$N$13,3,FALSE),0)/100)*(1+IFERROR(VLOOKUP(L7,'장비 등급별 옵션'!$J$16:$N$20,3,FALSE),0)/100)*(1+IFERROR(VLOOKUP(M7,'장비 등급별 옵션'!$J$23:$N$27,3,FALSE),0)/100)*(1+IFERROR(VLOOKUP(N7,'장비 등급별 옵션'!$J$30:$N$34,3,FALSE),0)/100)*(1+IFERROR(VLOOKUP(O7,'장비 등급별 옵션'!$J$37:$N$40,3,FALSE),0)/100)</f>
        <v>81.36285430244412</v>
      </c>
      <c r="T7" s="15">
        <f>IFERROR(VLOOKUP(E7,'장비 등급별 옵션'!$A$2:$D$6,2,FALSE),0)+IFERROR(VLOOKUP(F7,'장비 등급별 옵션'!$A$9:$D$13,2,FALSE),0)+IFERROR(VLOOKUP(G7,'장비 등급별 옵션'!$A$16:$D$20,2,FALSE),0)+IFERROR(VLOOKUP(H7,'장비 등급별 옵션'!$A$23:$D$27,2,FALSE),0)+IFERROR(VLOOKUP(I7,'장비 등급별 옵션'!$A$30:$D$34,2,FALSE),0)+IFERROR(VLOOKUP(J7,'장비 등급별 옵션'!$J$2:$N$6,2,FALSE),0)+IFERROR(VLOOKUP(K7,'장비 등급별 옵션'!$J$9:$N$13,2,FALSE),0)+IFERROR(VLOOKUP(L7,'장비 등급별 옵션'!$J$16:$N$20,2,FALSE),0)+IFERROR(VLOOKUP(M7,'장비 등급별 옵션'!$J$23:$N$27,2,FALSE),0)+IFERROR(VLOOKUP(N7,'장비 등급별 옵션'!$J$30:$N$34,2,FALSE),0)+IFERROR(VLOOKUP(O7,'장비 등급별 옵션'!$J$37:$N$40,2,FALSE),0)</f>
        <v>33990</v>
      </c>
      <c r="U7" s="15">
        <f>IFERROR(VLOOKUP(E7,'장비 등급별 옵션'!$A$2:$D$6,4,FALSE),0)+IFERROR(VLOOKUP(F7,'장비 등급별 옵션'!$A$9:$D$13,4,FALSE),0)+IFERROR(VLOOKUP(G7,'장비 등급별 옵션'!$A$16:$D$20,4,FALSE),0)+IFERROR(VLOOKUP(H7,'장비 등급별 옵션'!$A$23:$D$27,4,FALSE),0)+IFERROR(VLOOKUP(I7,'장비 등급별 옵션'!$A$30:$D$34,4,FALSE),0)+IFERROR(VLOOKUP(J7,'장비 등급별 옵션'!$J$2:$N$6,4,FALSE),0)+IFERROR(VLOOKUP(K7,'장비 등급별 옵션'!$J$9:$N$13,4,FALSE),0)+IFERROR(VLOOKUP(L7,'장비 등급별 옵션'!$J$16:$N$20,4,FALSE),0)+IFERROR(VLOOKUP(M7,'장비 등급별 옵션'!$J$23:$N$27,4,FALSE),0)+IFERROR(VLOOKUP(N7,'장비 등급별 옵션'!$J$30:$N$34,4,FALSE),0)+IFERROR(VLOOKUP(O7,'장비 등급별 옵션'!$J$37:$N$40,4,FALSE),0)</f>
        <v>130</v>
      </c>
      <c r="V7" s="15">
        <f>IFERROR(VLOOKUP(E7,'장비 등급별 옵션'!$A$2:$D$6,5,FALSE),0)+IFERROR(VLOOKUP(F7,'장비 등급별 옵션'!$A$9:$D$13,5,FALSE),0)+IFERROR(VLOOKUP(G7,'장비 등급별 옵션'!$A$16:$D$20,5,FALSE),0)+IFERROR(VLOOKUP(H7,'장비 등급별 옵션'!$A$23:$D$27,5,FALSE),0)+IFERROR(VLOOKUP(I7,'장비 등급별 옵션'!$A$30:$D$34,5,FALSE),0)+IFERROR(VLOOKUP(J7,'장비 등급별 옵션'!$J$2:$N$6,5,FALSE),0)+IFERROR(VLOOKUP(K7,'장비 등급별 옵션'!$J$9:$N$13,5,FALSE),0)+IFERROR(VLOOKUP(L7,'장비 등급별 옵션'!$J$16:$N$20,5,FALSE),0)+IFERROR(VLOOKUP(M7,'장비 등급별 옵션'!$J$23:$N$27,5,FALSE),0)+IFERROR(VLOOKUP(N7,'장비 등급별 옵션'!$J$30:$N$34,5,FALSE),0)+IFERROR(VLOOKUP(O7,'장비 등급별 옵션'!$J$37:$N$40,5,FALSE),0)</f>
        <v>15</v>
      </c>
      <c r="W7" s="14">
        <f>IFERROR(VLOOKUP(E7,'장비 등급별 옵션'!$A$2:$H$6,5,FALSE),0)+IFERROR(VLOOKUP(F7,'장비 등급별 옵션'!$A$9:$H$13,5,FALSE),0)+IFERROR(VLOOKUP(G7,'장비 등급별 옵션'!$A$16:$H$20,5,FALSE),0)+IFERROR(VLOOKUP(H7,'장비 등급별 옵션'!$A$23:$H$27,5,FALSE),0)+IFERROR(VLOOKUP(I7,'장비 등급별 옵션'!$A$30:$H$34,5,FALSE),0)+IFERROR(VLOOKUP(J7,'장비 등급별 옵션'!$J$2:$R$6,6,FALSE),0)+IFERROR(VLOOKUP(K7,'장비 등급별 옵션'!$J$9:$R$13,6,FALSE),0)+IFERROR(VLOOKUP(L7,'장비 등급별 옵션'!$J$16:$R$20,6,FALSE),0)+IFERROR(VLOOKUP(M7,'장비 등급별 옵션'!$J$23:$R$27,6,FALSE),0)+IFERROR(VLOOKUP(N7,'장비 등급별 옵션'!$J$30:$R$34,6,FALSE),0)+IFERROR(VLOOKUP(O7,'장비 등급별 옵션'!$J$37:$R$40,6,FALSE),0)</f>
        <v>1588</v>
      </c>
      <c r="X7" s="16">
        <f t="shared" si="2"/>
        <v>0.60931102656002334</v>
      </c>
      <c r="Y7" s="16">
        <f t="shared" si="3"/>
        <v>0.82029099488792778</v>
      </c>
      <c r="Z7" s="16">
        <f t="shared" si="4"/>
        <v>0.99891752514625565</v>
      </c>
      <c r="AA7" s="15">
        <f t="shared" si="5"/>
        <v>2948.2967658936318</v>
      </c>
      <c r="AB7" s="16">
        <f t="shared" si="6"/>
        <v>0.10778355422127847</v>
      </c>
      <c r="AC7" s="16">
        <f t="shared" si="7"/>
        <v>0.21588172848309525</v>
      </c>
      <c r="AD7" s="16">
        <f t="shared" si="8"/>
        <v>48.2</v>
      </c>
      <c r="AE7" s="14">
        <f t="shared" si="9"/>
        <v>1472</v>
      </c>
      <c r="AF7" s="14">
        <f t="shared" si="10"/>
        <v>0</v>
      </c>
    </row>
    <row r="8" spans="1:32" ht="16.5" customHeight="1">
      <c r="A8" s="10" t="s">
        <v>40</v>
      </c>
      <c r="B8" s="10">
        <v>1285</v>
      </c>
      <c r="C8" s="10">
        <v>1781</v>
      </c>
      <c r="D8" s="14">
        <f t="shared" si="0"/>
        <v>6326</v>
      </c>
      <c r="E8" s="10" t="s">
        <v>41</v>
      </c>
      <c r="F8" s="10" t="s">
        <v>33</v>
      </c>
      <c r="G8" s="10" t="s">
        <v>33</v>
      </c>
      <c r="H8" s="10" t="s">
        <v>33</v>
      </c>
      <c r="I8" s="10" t="s">
        <v>33</v>
      </c>
      <c r="J8" s="10" t="s">
        <v>33</v>
      </c>
      <c r="K8" s="10" t="s">
        <v>33</v>
      </c>
      <c r="L8" s="10" t="s">
        <v>33</v>
      </c>
      <c r="M8" s="10" t="s">
        <v>33</v>
      </c>
      <c r="N8" s="10" t="s">
        <v>33</v>
      </c>
      <c r="O8" s="10" t="s">
        <v>33</v>
      </c>
      <c r="P8" s="10">
        <v>433</v>
      </c>
      <c r="Q8" s="16">
        <f t="shared" si="11"/>
        <v>6.7796793757492813</v>
      </c>
      <c r="R8" s="16">
        <f t="shared" si="1"/>
        <v>58.295481529120096</v>
      </c>
      <c r="S8" s="15">
        <f>(1+IFERROR(VLOOKUP(E8,'장비 등급별 옵션'!$A$2:$D$6,3,FALSE),0)/100)*(1+IFERROR(VLOOKUP(F8,'장비 등급별 옵션'!$A$9:$D$13,3,FALSE),0)/100)*(1+IFERROR(VLOOKUP(G8,'장비 등급별 옵션'!$A$16:$D$20,3,FALSE),0)/100)*(1+IFERROR(VLOOKUP(H8,'장비 등급별 옵션'!$A$23:$D$27,3,FALSE),0)/100)*(1+IFERROR(VLOOKUP(I8,'장비 등급별 옵션'!$A$30:$D$34,3,FALSE),0)/100)*(1+IFERROR(VLOOKUP(J8,'장비 등급별 옵션'!$J$2:$N$6,3,FALSE),0)/100)*(1+IFERROR(VLOOKUP(K8,'장비 등급별 옵션'!$J$9:$N$13,3,FALSE),0)/100)*(1+IFERROR(VLOOKUP(L8,'장비 등급별 옵션'!$J$16:$N$20,3,FALSE),0)/100)*(1+IFERROR(VLOOKUP(M8,'장비 등급별 옵션'!$J$23:$N$27,3,FALSE),0)/100)*(1+IFERROR(VLOOKUP(N8,'장비 등급별 옵션'!$J$30:$N$34,3,FALSE),0)/100)*(1+IFERROR(VLOOKUP(O8,'장비 등급별 옵션'!$J$37:$N$40,3,FALSE),0)/100)</f>
        <v>89.847837679699012</v>
      </c>
      <c r="T8" s="15">
        <f>IFERROR(VLOOKUP(E8,'장비 등급별 옵션'!$A$2:$D$6,2,FALSE),0)+IFERROR(VLOOKUP(F8,'장비 등급별 옵션'!$A$9:$D$13,2,FALSE),0)+IFERROR(VLOOKUP(G8,'장비 등급별 옵션'!$A$16:$D$20,2,FALSE),0)+IFERROR(VLOOKUP(H8,'장비 등급별 옵션'!$A$23:$D$27,2,FALSE),0)+IFERROR(VLOOKUP(I8,'장비 등급별 옵션'!$A$30:$D$34,2,FALSE),0)+IFERROR(VLOOKUP(J8,'장비 등급별 옵션'!$J$2:$N$6,2,FALSE),0)+IFERROR(VLOOKUP(K8,'장비 등급별 옵션'!$J$9:$N$13,2,FALSE),0)+IFERROR(VLOOKUP(L8,'장비 등급별 옵션'!$J$16:$N$20,2,FALSE),0)+IFERROR(VLOOKUP(M8,'장비 등급별 옵션'!$J$23:$N$27,2,FALSE),0)+IFERROR(VLOOKUP(N8,'장비 등급별 옵션'!$J$30:$N$34,2,FALSE),0)+IFERROR(VLOOKUP(O8,'장비 등급별 옵션'!$J$37:$N$40,2,FALSE),0)</f>
        <v>35079</v>
      </c>
      <c r="U8" s="15">
        <f>IFERROR(VLOOKUP(E8,'장비 등급별 옵션'!$A$2:$D$6,4,FALSE),0)+IFERROR(VLOOKUP(F8,'장비 등급별 옵션'!$A$9:$D$13,4,FALSE),0)+IFERROR(VLOOKUP(G8,'장비 등급별 옵션'!$A$16:$D$20,4,FALSE),0)+IFERROR(VLOOKUP(H8,'장비 등급별 옵션'!$A$23:$D$27,4,FALSE),0)+IFERROR(VLOOKUP(I8,'장비 등급별 옵션'!$A$30:$D$34,4,FALSE),0)+IFERROR(VLOOKUP(J8,'장비 등급별 옵션'!$J$2:$N$6,4,FALSE),0)+IFERROR(VLOOKUP(K8,'장비 등급별 옵션'!$J$9:$N$13,4,FALSE),0)+IFERROR(VLOOKUP(L8,'장비 등급별 옵션'!$J$16:$N$20,4,FALSE),0)+IFERROR(VLOOKUP(M8,'장비 등급별 옵션'!$J$23:$N$27,4,FALSE),0)+IFERROR(VLOOKUP(N8,'장비 등급별 옵션'!$J$30:$N$34,4,FALSE),0)+IFERROR(VLOOKUP(O8,'장비 등급별 옵션'!$J$37:$N$40,4,FALSE),0)</f>
        <v>130</v>
      </c>
      <c r="V8" s="15">
        <f>IFERROR(VLOOKUP(E8,'장비 등급별 옵션'!$A$2:$D$6,5,FALSE),0)+IFERROR(VLOOKUP(F8,'장비 등급별 옵션'!$A$9:$D$13,5,FALSE),0)+IFERROR(VLOOKUP(G8,'장비 등급별 옵션'!$A$16:$D$20,5,FALSE),0)+IFERROR(VLOOKUP(H8,'장비 등급별 옵션'!$A$23:$D$27,5,FALSE),0)+IFERROR(VLOOKUP(I8,'장비 등급별 옵션'!$A$30:$D$34,5,FALSE),0)+IFERROR(VLOOKUP(J8,'장비 등급별 옵션'!$J$2:$N$6,5,FALSE),0)+IFERROR(VLOOKUP(K8,'장비 등급별 옵션'!$J$9:$N$13,5,FALSE),0)+IFERROR(VLOOKUP(L8,'장비 등급별 옵션'!$J$16:$N$20,5,FALSE),0)+IFERROR(VLOOKUP(M8,'장비 등급별 옵션'!$J$23:$N$27,5,FALSE),0)+IFERROR(VLOOKUP(N8,'장비 등급별 옵션'!$J$30:$N$34,5,FALSE),0)+IFERROR(VLOOKUP(O8,'장비 등급별 옵션'!$J$37:$N$40,5,FALSE),0)</f>
        <v>15</v>
      </c>
      <c r="W8" s="14">
        <f>IFERROR(VLOOKUP(E8,'장비 등급별 옵션'!$A$2:$H$6,5,FALSE),0)+IFERROR(VLOOKUP(F8,'장비 등급별 옵션'!$A$9:$H$13,5,FALSE),0)+IFERROR(VLOOKUP(G8,'장비 등급별 옵션'!$A$16:$H$20,5,FALSE),0)+IFERROR(VLOOKUP(H8,'장비 등급별 옵션'!$A$23:$H$27,5,FALSE),0)+IFERROR(VLOOKUP(I8,'장비 등급별 옵션'!$A$30:$H$34,5,FALSE),0)+IFERROR(VLOOKUP(J8,'장비 등급별 옵션'!$J$2:$R$6,6,FALSE),0)+IFERROR(VLOOKUP(K8,'장비 등급별 옵션'!$J$9:$R$13,6,FALSE),0)+IFERROR(VLOOKUP(L8,'장비 등급별 옵션'!$J$16:$R$20,6,FALSE),0)+IFERROR(VLOOKUP(M8,'장비 등급별 옵션'!$J$23:$R$27,6,FALSE),0)+IFERROR(VLOOKUP(N8,'장비 등급별 옵션'!$J$30:$R$34,6,FALSE),0)+IFERROR(VLOOKUP(O8,'장비 등급별 옵션'!$J$37:$R$40,6,FALSE),0)</f>
        <v>1592</v>
      </c>
      <c r="X8" s="16">
        <f t="shared" si="2"/>
        <v>0.67285346218699715</v>
      </c>
      <c r="Y8" s="16">
        <f t="shared" si="3"/>
        <v>0.84166619852817259</v>
      </c>
      <c r="Z8" s="16">
        <f t="shared" si="4"/>
        <v>0.9989499588497387</v>
      </c>
      <c r="AA8" s="15">
        <f t="shared" si="5"/>
        <v>3148.1818336668048</v>
      </c>
      <c r="AB8" s="16">
        <f t="shared" si="6"/>
        <v>0.13040931390495716</v>
      </c>
      <c r="AC8" s="16">
        <f t="shared" si="7"/>
        <v>0.23051781750507469</v>
      </c>
      <c r="AD8" s="16">
        <f t="shared" si="8"/>
        <v>58.3</v>
      </c>
      <c r="AE8" s="14">
        <f t="shared" si="9"/>
        <v>1781</v>
      </c>
      <c r="AF8" s="14">
        <f t="shared" si="10"/>
        <v>0</v>
      </c>
    </row>
    <row r="9" spans="1:32" ht="16.5" customHeight="1">
      <c r="A9" s="10" t="s">
        <v>42</v>
      </c>
      <c r="B9" s="10">
        <v>1370</v>
      </c>
      <c r="C9" s="10">
        <v>2099</v>
      </c>
      <c r="D9" s="14">
        <f t="shared" si="0"/>
        <v>6328</v>
      </c>
      <c r="E9" s="10" t="s">
        <v>41</v>
      </c>
      <c r="F9" s="10" t="s">
        <v>41</v>
      </c>
      <c r="G9" s="10" t="s">
        <v>41</v>
      </c>
      <c r="H9" s="10" t="s">
        <v>33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33</v>
      </c>
      <c r="N9" s="10" t="s">
        <v>33</v>
      </c>
      <c r="O9" s="10" t="s">
        <v>33</v>
      </c>
      <c r="P9" s="10">
        <v>1299</v>
      </c>
      <c r="Q9" s="16">
        <f t="shared" si="11"/>
        <v>13.822436013014915</v>
      </c>
      <c r="R9" s="16">
        <f t="shared" si="1"/>
        <v>80.175773174976555</v>
      </c>
      <c r="S9" s="15">
        <f>(1+IFERROR(VLOOKUP(E9,'장비 등급별 옵션'!$A$2:$D$6,3,FALSE),0)/100)*(1+IFERROR(VLOOKUP(F9,'장비 등급별 옵션'!$A$9:$D$13,3,FALSE),0)/100)*(1+IFERROR(VLOOKUP(G9,'장비 등급별 옵션'!$A$16:$D$20,3,FALSE),0)/100)*(1+IFERROR(VLOOKUP(H9,'장비 등급별 옵션'!$A$23:$D$27,3,FALSE),0)/100)*(1+IFERROR(VLOOKUP(I9,'장비 등급별 옵션'!$A$30:$D$34,3,FALSE),0)/100)*(1+IFERROR(VLOOKUP(J9,'장비 등급별 옵션'!$J$2:$N$6,3,FALSE),0)/100)*(1+IFERROR(VLOOKUP(K9,'장비 등급별 옵션'!$J$9:$N$13,3,FALSE),0)/100)*(1+IFERROR(VLOOKUP(L9,'장비 등급별 옵션'!$J$16:$N$20,3,FALSE),0)/100)*(1+IFERROR(VLOOKUP(M9,'장비 등급별 옵션'!$J$23:$N$27,3,FALSE),0)/100)*(1+IFERROR(VLOOKUP(N9,'장비 등급별 옵션'!$J$30:$N$34,3,FALSE),0)/100)*(1+IFERROR(VLOOKUP(O9,'장비 등급별 옵션'!$J$37:$N$40,3,FALSE),0)/100)</f>
        <v>91.704467586198376</v>
      </c>
      <c r="T9" s="15">
        <f>IFERROR(VLOOKUP(E9,'장비 등급별 옵션'!$A$2:$D$6,2,FALSE),0)+IFERROR(VLOOKUP(F9,'장비 등급별 옵션'!$A$9:$D$13,2,FALSE),0)+IFERROR(VLOOKUP(G9,'장비 등급별 옵션'!$A$16:$D$20,2,FALSE),0)+IFERROR(VLOOKUP(H9,'장비 등급별 옵션'!$A$23:$D$27,2,FALSE),0)+IFERROR(VLOOKUP(I9,'장비 등급별 옵션'!$A$30:$D$34,2,FALSE),0)+IFERROR(VLOOKUP(J9,'장비 등급별 옵션'!$J$2:$N$6,2,FALSE),0)+IFERROR(VLOOKUP(K9,'장비 등급별 옵션'!$J$9:$N$13,2,FALSE),0)+IFERROR(VLOOKUP(L9,'장비 등급별 옵션'!$J$16:$N$20,2,FALSE),0)+IFERROR(VLOOKUP(M9,'장비 등급별 옵션'!$J$23:$N$27,2,FALSE),0)+IFERROR(VLOOKUP(N9,'장비 등급별 옵션'!$J$30:$N$34,2,FALSE),0)+IFERROR(VLOOKUP(O9,'장비 등급별 옵션'!$J$37:$N$40,2,FALSE),0)</f>
        <v>35079</v>
      </c>
      <c r="U9" s="15">
        <f>IFERROR(VLOOKUP(E9,'장비 등급별 옵션'!$A$2:$D$6,4,FALSE),0)+IFERROR(VLOOKUP(F9,'장비 등급별 옵션'!$A$9:$D$13,4,FALSE),0)+IFERROR(VLOOKUP(G9,'장비 등급별 옵션'!$A$16:$D$20,4,FALSE),0)+IFERROR(VLOOKUP(H9,'장비 등급별 옵션'!$A$23:$D$27,4,FALSE),0)+IFERROR(VLOOKUP(I9,'장비 등급별 옵션'!$A$30:$D$34,4,FALSE),0)+IFERROR(VLOOKUP(J9,'장비 등급별 옵션'!$J$2:$N$6,4,FALSE),0)+IFERROR(VLOOKUP(K9,'장비 등급별 옵션'!$J$9:$N$13,4,FALSE),0)+IFERROR(VLOOKUP(L9,'장비 등급별 옵션'!$J$16:$N$20,4,FALSE),0)+IFERROR(VLOOKUP(M9,'장비 등급별 옵션'!$J$23:$N$27,4,FALSE),0)+IFERROR(VLOOKUP(N9,'장비 등급별 옵션'!$J$30:$N$34,4,FALSE),0)+IFERROR(VLOOKUP(O9,'장비 등급별 옵션'!$J$37:$N$40,4,FALSE),0)</f>
        <v>130</v>
      </c>
      <c r="V9" s="15">
        <f>IFERROR(VLOOKUP(E9,'장비 등급별 옵션'!$A$2:$D$6,5,FALSE),0)+IFERROR(VLOOKUP(F9,'장비 등급별 옵션'!$A$9:$D$13,5,FALSE),0)+IFERROR(VLOOKUP(G9,'장비 등급별 옵션'!$A$16:$D$20,5,FALSE),0)+IFERROR(VLOOKUP(H9,'장비 등급별 옵션'!$A$23:$D$27,5,FALSE),0)+IFERROR(VLOOKUP(I9,'장비 등급별 옵션'!$A$30:$D$34,5,FALSE),0)+IFERROR(VLOOKUP(J9,'장비 등급별 옵션'!$J$2:$N$6,5,FALSE),0)+IFERROR(VLOOKUP(K9,'장비 등급별 옵션'!$J$9:$N$13,5,FALSE),0)+IFERROR(VLOOKUP(L9,'장비 등급별 옵션'!$J$16:$N$20,5,FALSE),0)+IFERROR(VLOOKUP(M9,'장비 등급별 옵션'!$J$23:$N$27,5,FALSE),0)+IFERROR(VLOOKUP(N9,'장비 등급별 옵션'!$J$30:$N$34,5,FALSE),0)+IFERROR(VLOOKUP(O9,'장비 등급별 옵션'!$J$37:$N$40,5,FALSE),0)</f>
        <v>15</v>
      </c>
      <c r="W9" s="14">
        <f>IFERROR(VLOOKUP(E9,'장비 등급별 옵션'!$A$2:$H$6,5,FALSE),0)+IFERROR(VLOOKUP(F9,'장비 등급별 옵션'!$A$9:$H$13,5,FALSE),0)+IFERROR(VLOOKUP(G9,'장비 등급별 옵션'!$A$16:$H$20,5,FALSE),0)+IFERROR(VLOOKUP(H9,'장비 등급별 옵션'!$A$23:$H$27,5,FALSE),0)+IFERROR(VLOOKUP(I9,'장비 등급별 옵션'!$A$30:$H$34,5,FALSE),0)+IFERROR(VLOOKUP(J9,'장비 등급별 옵션'!$J$2:$R$6,6,FALSE),0)+IFERROR(VLOOKUP(K9,'장비 등급별 옵션'!$J$9:$R$13,6,FALSE),0)+IFERROR(VLOOKUP(L9,'장비 등급별 옵션'!$J$16:$R$20,6,FALSE),0)+IFERROR(VLOOKUP(M9,'장비 등급별 옵션'!$J$23:$R$27,6,FALSE),0)+IFERROR(VLOOKUP(N9,'장비 등급별 옵션'!$J$30:$R$34,6,FALSE),0)+IFERROR(VLOOKUP(O9,'장비 등급별 옵션'!$J$37:$R$40,6,FALSE),0)</f>
        <v>1594</v>
      </c>
      <c r="X9" s="16">
        <f t="shared" si="2"/>
        <v>0.68675741238601562</v>
      </c>
      <c r="Y9" s="16">
        <f t="shared" si="3"/>
        <v>0.85382843660468521</v>
      </c>
      <c r="Z9" s="16">
        <f t="shared" si="4"/>
        <v>0.99896617570148005</v>
      </c>
      <c r="AA9" s="15">
        <f t="shared" si="5"/>
        <v>3583.3372531987584</v>
      </c>
      <c r="AB9" s="16">
        <f t="shared" si="6"/>
        <v>0.15369407629786921</v>
      </c>
      <c r="AC9" s="16">
        <f t="shared" si="7"/>
        <v>0.26238099532831211</v>
      </c>
      <c r="AD9" s="16">
        <f t="shared" si="8"/>
        <v>80.2</v>
      </c>
      <c r="AE9" s="14">
        <f t="shared" si="9"/>
        <v>2099</v>
      </c>
      <c r="AF9" s="14">
        <f t="shared" si="10"/>
        <v>0</v>
      </c>
    </row>
    <row r="10" spans="1:32" ht="16.5" customHeight="1">
      <c r="A10" s="10" t="s">
        <v>43</v>
      </c>
      <c r="B10" s="10">
        <v>1455</v>
      </c>
      <c r="C10" s="10">
        <v>2382</v>
      </c>
      <c r="D10" s="14">
        <f t="shared" si="0"/>
        <v>6329</v>
      </c>
      <c r="E10" s="10" t="s">
        <v>41</v>
      </c>
      <c r="F10" s="10" t="s">
        <v>41</v>
      </c>
      <c r="G10" s="10" t="s">
        <v>41</v>
      </c>
      <c r="H10" s="10" t="s">
        <v>33</v>
      </c>
      <c r="I10" s="10" t="s">
        <v>41</v>
      </c>
      <c r="J10" s="10" t="s">
        <v>33</v>
      </c>
      <c r="K10" s="10" t="s">
        <v>33</v>
      </c>
      <c r="L10" s="10" t="s">
        <v>33</v>
      </c>
      <c r="M10" s="10" t="s">
        <v>33</v>
      </c>
      <c r="N10" s="10" t="s">
        <v>33</v>
      </c>
      <c r="O10" s="10" t="s">
        <v>33</v>
      </c>
      <c r="P10" s="10">
        <v>1732</v>
      </c>
      <c r="Q10" s="16">
        <f t="shared" si="11"/>
        <v>11.512792938484306</v>
      </c>
      <c r="R10" s="16">
        <f t="shared" si="1"/>
        <v>100.91903686592474</v>
      </c>
      <c r="S10" s="15">
        <f>(1+IFERROR(VLOOKUP(E10,'장비 등급별 옵션'!$A$2:$D$6,3,FALSE),0)/100)*(1+IFERROR(VLOOKUP(F10,'장비 등급별 옵션'!$A$9:$D$13,3,FALSE),0)/100)*(1+IFERROR(VLOOKUP(G10,'장비 등급별 옵션'!$A$16:$D$20,3,FALSE),0)/100)*(1+IFERROR(VLOOKUP(H10,'장비 등급별 옵션'!$A$23:$D$27,3,FALSE),0)/100)*(1+IFERROR(VLOOKUP(I10,'장비 등급별 옵션'!$A$30:$D$34,3,FALSE),0)/100)*(1+IFERROR(VLOOKUP(J10,'장비 등급별 옵션'!$J$2:$N$6,3,FALSE),0)/100)*(1+IFERROR(VLOOKUP(K10,'장비 등급별 옵션'!$J$9:$N$13,3,FALSE),0)/100)*(1+IFERROR(VLOOKUP(L10,'장비 등급별 옵션'!$J$16:$N$20,3,FALSE),0)/100)*(1+IFERROR(VLOOKUP(M10,'장비 등급별 옵션'!$J$23:$N$27,3,FALSE),0)/100)*(1+IFERROR(VLOOKUP(N10,'장비 등급별 옵션'!$J$30:$N$34,3,FALSE),0)/100)*(1+IFERROR(VLOOKUP(O10,'장비 등급별 옵션'!$J$37:$N$40,3,FALSE),0)/100)</f>
        <v>92.663468554420064</v>
      </c>
      <c r="T10" s="15">
        <f>IFERROR(VLOOKUP(E10,'장비 등급별 옵션'!$A$2:$D$6,2,FALSE),0)+IFERROR(VLOOKUP(F10,'장비 등급별 옵션'!$A$9:$D$13,2,FALSE),0)+IFERROR(VLOOKUP(G10,'장비 등급별 옵션'!$A$16:$D$20,2,FALSE),0)+IFERROR(VLOOKUP(H10,'장비 등급별 옵션'!$A$23:$D$27,2,FALSE),0)+IFERROR(VLOOKUP(I10,'장비 등급별 옵션'!$A$30:$D$34,2,FALSE),0)+IFERROR(VLOOKUP(J10,'장비 등급별 옵션'!$J$2:$N$6,2,FALSE),0)+IFERROR(VLOOKUP(K10,'장비 등급별 옵션'!$J$9:$N$13,2,FALSE),0)+IFERROR(VLOOKUP(L10,'장비 등급별 옵션'!$J$16:$N$20,2,FALSE),0)+IFERROR(VLOOKUP(M10,'장비 등급별 옵션'!$J$23:$N$27,2,FALSE),0)+IFERROR(VLOOKUP(N10,'장비 등급별 옵션'!$J$30:$N$34,2,FALSE),0)+IFERROR(VLOOKUP(O10,'장비 등급별 옵션'!$J$37:$N$40,2,FALSE),0)</f>
        <v>35079</v>
      </c>
      <c r="U10" s="15">
        <f>IFERROR(VLOOKUP(E10,'장비 등급별 옵션'!$A$2:$D$6,4,FALSE),0)+IFERROR(VLOOKUP(F10,'장비 등급별 옵션'!$A$9:$D$13,4,FALSE),0)+IFERROR(VLOOKUP(G10,'장비 등급별 옵션'!$A$16:$D$20,4,FALSE),0)+IFERROR(VLOOKUP(H10,'장비 등급별 옵션'!$A$23:$D$27,4,FALSE),0)+IFERROR(VLOOKUP(I10,'장비 등급별 옵션'!$A$30:$D$34,4,FALSE),0)+IFERROR(VLOOKUP(J10,'장비 등급별 옵션'!$J$2:$N$6,4,FALSE),0)+IFERROR(VLOOKUP(K10,'장비 등급별 옵션'!$J$9:$N$13,4,FALSE),0)+IFERROR(VLOOKUP(L10,'장비 등급별 옵션'!$J$16:$N$20,4,FALSE),0)+IFERROR(VLOOKUP(M10,'장비 등급별 옵션'!$J$23:$N$27,4,FALSE),0)+IFERROR(VLOOKUP(N10,'장비 등급별 옵션'!$J$30:$N$34,4,FALSE),0)+IFERROR(VLOOKUP(O10,'장비 등급별 옵션'!$J$37:$N$40,4,FALSE),0)</f>
        <v>130</v>
      </c>
      <c r="V10" s="15">
        <f>IFERROR(VLOOKUP(E10,'장비 등급별 옵션'!$A$2:$D$6,5,FALSE),0)+IFERROR(VLOOKUP(F10,'장비 등급별 옵션'!$A$9:$D$13,5,FALSE),0)+IFERROR(VLOOKUP(G10,'장비 등급별 옵션'!$A$16:$D$20,5,FALSE),0)+IFERROR(VLOOKUP(H10,'장비 등급별 옵션'!$A$23:$D$27,5,FALSE),0)+IFERROR(VLOOKUP(I10,'장비 등급별 옵션'!$A$30:$D$34,5,FALSE),0)+IFERROR(VLOOKUP(J10,'장비 등급별 옵션'!$J$2:$N$6,5,FALSE),0)+IFERROR(VLOOKUP(K10,'장비 등급별 옵션'!$J$9:$N$13,5,FALSE),0)+IFERROR(VLOOKUP(L10,'장비 등급별 옵션'!$J$16:$N$20,5,FALSE),0)+IFERROR(VLOOKUP(M10,'장비 등급별 옵션'!$J$23:$N$27,5,FALSE),0)+IFERROR(VLOOKUP(N10,'장비 등급별 옵션'!$J$30:$N$34,5,FALSE),0)+IFERROR(VLOOKUP(O10,'장비 등급별 옵션'!$J$37:$N$40,5,FALSE),0)</f>
        <v>15</v>
      </c>
      <c r="W10" s="14">
        <f>IFERROR(VLOOKUP(E10,'장비 등급별 옵션'!$A$2:$H$6,5,FALSE),0)+IFERROR(VLOOKUP(F10,'장비 등급별 옵션'!$A$9:$H$13,5,FALSE),0)+IFERROR(VLOOKUP(G10,'장비 등급별 옵션'!$A$16:$H$20,5,FALSE),0)+IFERROR(VLOOKUP(H10,'장비 등급별 옵션'!$A$23:$H$27,5,FALSE),0)+IFERROR(VLOOKUP(I10,'장비 등급별 옵션'!$A$30:$H$34,5,FALSE),0)+IFERROR(VLOOKUP(J10,'장비 등급별 옵션'!$J$2:$R$6,6,FALSE),0)+IFERROR(VLOOKUP(K10,'장비 등급별 옵션'!$J$9:$R$13,6,FALSE),0)+IFERROR(VLOOKUP(L10,'장비 등급별 옵션'!$J$16:$R$20,6,FALSE),0)+IFERROR(VLOOKUP(M10,'장비 등급별 옵션'!$J$23:$R$27,6,FALSE),0)+IFERROR(VLOOKUP(N10,'장비 등급별 옵션'!$J$30:$R$34,6,FALSE),0)+IFERROR(VLOOKUP(O10,'장비 등급별 옵션'!$J$37:$R$40,6,FALSE),0)</f>
        <v>1595</v>
      </c>
      <c r="X10" s="16">
        <f t="shared" si="2"/>
        <v>0.6939391892475687</v>
      </c>
      <c r="Y10" s="16">
        <f t="shared" si="3"/>
        <v>0.85990955564294136</v>
      </c>
      <c r="Z10" s="16">
        <f t="shared" si="4"/>
        <v>0.99897631123381858</v>
      </c>
      <c r="AA10" s="15">
        <f t="shared" si="5"/>
        <v>3995.8794514471028</v>
      </c>
      <c r="AB10" s="16">
        <f t="shared" si="6"/>
        <v>0.17441605037709598</v>
      </c>
      <c r="AC10" s="16">
        <f t="shared" si="7"/>
        <v>0.29258837603039484</v>
      </c>
      <c r="AD10" s="16">
        <f t="shared" si="8"/>
        <v>100.9</v>
      </c>
      <c r="AE10" s="14">
        <f t="shared" si="9"/>
        <v>2382</v>
      </c>
      <c r="AF10" s="14">
        <f t="shared" si="10"/>
        <v>0</v>
      </c>
    </row>
    <row r="11" spans="1:32" ht="16.5" customHeight="1">
      <c r="A11" s="10" t="s">
        <v>44</v>
      </c>
      <c r="B11" s="10">
        <v>1540</v>
      </c>
      <c r="C11" s="10">
        <v>2750</v>
      </c>
      <c r="D11" s="14">
        <f t="shared" si="0"/>
        <v>6330</v>
      </c>
      <c r="E11" s="10" t="s">
        <v>41</v>
      </c>
      <c r="F11" s="10" t="s">
        <v>41</v>
      </c>
      <c r="G11" s="10" t="s">
        <v>41</v>
      </c>
      <c r="H11" s="10" t="s">
        <v>41</v>
      </c>
      <c r="I11" s="10" t="s">
        <v>41</v>
      </c>
      <c r="J11" s="10" t="s">
        <v>41</v>
      </c>
      <c r="K11" s="10" t="s">
        <v>33</v>
      </c>
      <c r="L11" s="10" t="s">
        <v>33</v>
      </c>
      <c r="M11" s="10" t="s">
        <v>33</v>
      </c>
      <c r="N11" s="10" t="s">
        <v>33</v>
      </c>
      <c r="O11" s="10" t="s">
        <v>33</v>
      </c>
      <c r="P11" s="10">
        <v>2598</v>
      </c>
      <c r="Q11" s="16">
        <f t="shared" si="11"/>
        <v>11.493441686450478</v>
      </c>
      <c r="R11" s="16">
        <f t="shared" si="1"/>
        <v>124.01154920508772</v>
      </c>
      <c r="S11" s="15">
        <f>(1+IFERROR(VLOOKUP(E11,'장비 등급별 옵션'!$A$2:$D$6,3,FALSE),0)/100)*(1+IFERROR(VLOOKUP(F11,'장비 등급별 옵션'!$A$9:$D$13,3,FALSE),0)/100)*(1+IFERROR(VLOOKUP(G11,'장비 등급별 옵션'!$A$16:$D$20,3,FALSE),0)/100)*(1+IFERROR(VLOOKUP(H11,'장비 등급별 옵션'!$A$23:$D$27,3,FALSE),0)/100)*(1+IFERROR(VLOOKUP(I11,'장비 등급별 옵션'!$A$30:$D$34,3,FALSE),0)/100)*(1+IFERROR(VLOOKUP(J11,'장비 등급별 옵션'!$J$2:$N$6,3,FALSE),0)/100)*(1+IFERROR(VLOOKUP(K11,'장비 등급별 옵션'!$J$9:$N$13,3,FALSE),0)/100)*(1+IFERROR(VLOOKUP(L11,'장비 등급별 옵션'!$J$16:$N$20,3,FALSE),0)/100)*(1+IFERROR(VLOOKUP(M11,'장비 등급별 옵션'!$J$23:$N$27,3,FALSE),0)/100)*(1+IFERROR(VLOOKUP(N11,'장비 등급별 옵션'!$J$30:$N$34,3,FALSE),0)/100)*(1+IFERROR(VLOOKUP(O11,'장비 등급별 옵션'!$J$37:$N$40,3,FALSE),0)/100)</f>
        <v>94.612207903177008</v>
      </c>
      <c r="T11" s="15">
        <f>IFERROR(VLOOKUP(E11,'장비 등급별 옵션'!$A$2:$D$6,2,FALSE),0)+IFERROR(VLOOKUP(F11,'장비 등급별 옵션'!$A$9:$D$13,2,FALSE),0)+IFERROR(VLOOKUP(G11,'장비 등급별 옵션'!$A$16:$D$20,2,FALSE),0)+IFERROR(VLOOKUP(H11,'장비 등급별 옵션'!$A$23:$D$27,2,FALSE),0)+IFERROR(VLOOKUP(I11,'장비 등급별 옵션'!$A$30:$D$34,2,FALSE),0)+IFERROR(VLOOKUP(J11,'장비 등급별 옵션'!$J$2:$N$6,2,FALSE),0)+IFERROR(VLOOKUP(K11,'장비 등급별 옵션'!$J$9:$N$13,2,FALSE),0)+IFERROR(VLOOKUP(L11,'장비 등급별 옵션'!$J$16:$N$20,2,FALSE),0)+IFERROR(VLOOKUP(M11,'장비 등급별 옵션'!$J$23:$N$27,2,FALSE),0)+IFERROR(VLOOKUP(N11,'장비 등급별 옵션'!$J$30:$N$34,2,FALSE),0)+IFERROR(VLOOKUP(O11,'장비 등급별 옵션'!$J$37:$N$40,2,FALSE),0)</f>
        <v>35079</v>
      </c>
      <c r="U11" s="15">
        <f>IFERROR(VLOOKUP(E11,'장비 등급별 옵션'!$A$2:$D$6,4,FALSE),0)+IFERROR(VLOOKUP(F11,'장비 등급별 옵션'!$A$9:$D$13,4,FALSE),0)+IFERROR(VLOOKUP(G11,'장비 등급별 옵션'!$A$16:$D$20,4,FALSE),0)+IFERROR(VLOOKUP(H11,'장비 등급별 옵션'!$A$23:$D$27,4,FALSE),0)+IFERROR(VLOOKUP(I11,'장비 등급별 옵션'!$A$30:$D$34,4,FALSE),0)+IFERROR(VLOOKUP(J11,'장비 등급별 옵션'!$J$2:$N$6,4,FALSE),0)+IFERROR(VLOOKUP(K11,'장비 등급별 옵션'!$J$9:$N$13,4,FALSE),0)+IFERROR(VLOOKUP(L11,'장비 등급별 옵션'!$J$16:$N$20,4,FALSE),0)+IFERROR(VLOOKUP(M11,'장비 등급별 옵션'!$J$23:$N$27,4,FALSE),0)+IFERROR(VLOOKUP(N11,'장비 등급별 옵션'!$J$30:$N$34,4,FALSE),0)+IFERROR(VLOOKUP(O11,'장비 등급별 옵션'!$J$37:$N$40,4,FALSE),0)</f>
        <v>130</v>
      </c>
      <c r="V11" s="15">
        <f>IFERROR(VLOOKUP(E11,'장비 등급별 옵션'!$A$2:$D$6,5,FALSE),0)+IFERROR(VLOOKUP(F11,'장비 등급별 옵션'!$A$9:$D$13,5,FALSE),0)+IFERROR(VLOOKUP(G11,'장비 등급별 옵션'!$A$16:$D$20,5,FALSE),0)+IFERROR(VLOOKUP(H11,'장비 등급별 옵션'!$A$23:$D$27,5,FALSE),0)+IFERROR(VLOOKUP(I11,'장비 등급별 옵션'!$A$30:$D$34,5,FALSE),0)+IFERROR(VLOOKUP(J11,'장비 등급별 옵션'!$J$2:$N$6,5,FALSE),0)+IFERROR(VLOOKUP(K11,'장비 등급별 옵션'!$J$9:$N$13,5,FALSE),0)+IFERROR(VLOOKUP(L11,'장비 등급별 옵션'!$J$16:$N$20,5,FALSE),0)+IFERROR(VLOOKUP(M11,'장비 등급별 옵션'!$J$23:$N$27,5,FALSE),0)+IFERROR(VLOOKUP(N11,'장비 등급별 옵션'!$J$30:$N$34,5,FALSE),0)+IFERROR(VLOOKUP(O11,'장비 등급별 옵션'!$J$37:$N$40,5,FALSE),0)</f>
        <v>15</v>
      </c>
      <c r="W11" s="14">
        <f>IFERROR(VLOOKUP(E11,'장비 등급별 옵션'!$A$2:$H$6,5,FALSE),0)+IFERROR(VLOOKUP(F11,'장비 등급별 옵션'!$A$9:$H$13,5,FALSE),0)+IFERROR(VLOOKUP(G11,'장비 등급별 옵션'!$A$16:$H$20,5,FALSE),0)+IFERROR(VLOOKUP(H11,'장비 등급별 옵션'!$A$23:$H$27,5,FALSE),0)+IFERROR(VLOOKUP(I11,'장비 등급별 옵션'!$A$30:$H$34,5,FALSE),0)+IFERROR(VLOOKUP(J11,'장비 등급별 옵션'!$J$2:$R$6,6,FALSE),0)+IFERROR(VLOOKUP(K11,'장비 등급별 옵션'!$J$9:$R$13,6,FALSE),0)+IFERROR(VLOOKUP(L11,'장비 등급별 옵션'!$J$16:$R$20,6,FALSE),0)+IFERROR(VLOOKUP(M11,'장비 등급별 옵션'!$J$23:$R$27,6,FALSE),0)+IFERROR(VLOOKUP(N11,'장비 등급별 옵션'!$J$30:$R$34,6,FALSE),0)+IFERROR(VLOOKUP(O11,'장비 등급별 옵션'!$J$37:$R$40,6,FALSE),0)</f>
        <v>1596</v>
      </c>
      <c r="X11" s="16">
        <f t="shared" si="2"/>
        <v>0.70853292963768844</v>
      </c>
      <c r="Y11" s="16">
        <f t="shared" si="3"/>
        <v>0.87207179371945409</v>
      </c>
      <c r="Z11" s="16">
        <f t="shared" si="4"/>
        <v>0.99898441965968932</v>
      </c>
      <c r="AA11" s="15">
        <f t="shared" si="5"/>
        <v>4455.1435260600329</v>
      </c>
      <c r="AB11" s="16">
        <f t="shared" si="6"/>
        <v>0.20136193893241561</v>
      </c>
      <c r="AC11" s="16">
        <f t="shared" si="7"/>
        <v>0.32621685041078075</v>
      </c>
      <c r="AD11" s="16">
        <f t="shared" si="8"/>
        <v>124</v>
      </c>
      <c r="AE11" s="14">
        <f t="shared" si="9"/>
        <v>2750</v>
      </c>
      <c r="AF11" s="14">
        <f t="shared" si="10"/>
        <v>0</v>
      </c>
    </row>
    <row r="12" spans="1:32" ht="16.5" customHeight="1">
      <c r="A12" s="10" t="s">
        <v>45</v>
      </c>
      <c r="B12" s="10">
        <v>1650</v>
      </c>
      <c r="C12" s="10">
        <v>3631</v>
      </c>
      <c r="D12" s="14">
        <f t="shared" si="0"/>
        <v>6333</v>
      </c>
      <c r="E12" s="10" t="s">
        <v>41</v>
      </c>
      <c r="F12" s="10" t="s">
        <v>41</v>
      </c>
      <c r="G12" s="10" t="s">
        <v>41</v>
      </c>
      <c r="H12" s="10" t="s">
        <v>41</v>
      </c>
      <c r="I12" s="10" t="s">
        <v>41</v>
      </c>
      <c r="J12" s="10" t="s">
        <v>41</v>
      </c>
      <c r="K12" s="10" t="s">
        <v>41</v>
      </c>
      <c r="L12" s="10" t="s">
        <v>41</v>
      </c>
      <c r="M12" s="10" t="s">
        <v>33</v>
      </c>
      <c r="N12" s="10" t="s">
        <v>33</v>
      </c>
      <c r="O12" s="10" t="s">
        <v>33</v>
      </c>
      <c r="P12" s="10">
        <v>3464</v>
      </c>
      <c r="Q12" s="16">
        <f t="shared" si="11"/>
        <v>27.529839143175327</v>
      </c>
      <c r="R12" s="16">
        <f t="shared" si="1"/>
        <v>185.68156836338341</v>
      </c>
      <c r="S12" s="15">
        <f>(1+IFERROR(VLOOKUP(E12,'장비 등급별 옵션'!$A$2:$D$6,3,FALSE),0)/100)*(1+IFERROR(VLOOKUP(F12,'장비 등급별 옵션'!$A$9:$D$13,3,FALSE),0)/100)*(1+IFERROR(VLOOKUP(G12,'장비 등급별 옵션'!$A$16:$D$20,3,FALSE),0)/100)*(1+IFERROR(VLOOKUP(H12,'장비 등급별 옵션'!$A$23:$D$27,3,FALSE),0)/100)*(1+IFERROR(VLOOKUP(I12,'장비 등급별 옵션'!$A$30:$D$34,3,FALSE),0)/100)*(1+IFERROR(VLOOKUP(J12,'장비 등급별 옵션'!$J$2:$N$6,3,FALSE),0)/100)*(1+IFERROR(VLOOKUP(K12,'장비 등급별 옵션'!$J$9:$N$13,3,FALSE),0)/100)*(1+IFERROR(VLOOKUP(L12,'장비 등급별 옵션'!$J$16:$N$20,3,FALSE),0)/100)*(1+IFERROR(VLOOKUP(M12,'장비 등급별 옵션'!$J$23:$N$27,3,FALSE),0)/100)*(1+IFERROR(VLOOKUP(N12,'장비 등급별 옵션'!$J$30:$N$34,3,FALSE),0)/100)*(1+IFERROR(VLOOKUP(O12,'장비 등급별 옵션'!$J$37:$N$40,3,FALSE),0)/100)</f>
        <v>96.605835275179757</v>
      </c>
      <c r="T12" s="15">
        <f>IFERROR(VLOOKUP(E12,'장비 등급별 옵션'!$A$2:$D$6,2,FALSE),0)+IFERROR(VLOOKUP(F12,'장비 등급별 옵션'!$A$9:$D$13,2,FALSE),0)+IFERROR(VLOOKUP(G12,'장비 등급별 옵션'!$A$16:$D$20,2,FALSE),0)+IFERROR(VLOOKUP(H12,'장비 등급별 옵션'!$A$23:$D$27,2,FALSE),0)+IFERROR(VLOOKUP(I12,'장비 등급별 옵션'!$A$30:$D$34,2,FALSE),0)+IFERROR(VLOOKUP(J12,'장비 등급별 옵션'!$J$2:$N$6,2,FALSE),0)+IFERROR(VLOOKUP(K12,'장비 등급별 옵션'!$J$9:$N$13,2,FALSE),0)+IFERROR(VLOOKUP(L12,'장비 등급별 옵션'!$J$16:$N$20,2,FALSE),0)+IFERROR(VLOOKUP(M12,'장비 등급별 옵션'!$J$23:$N$27,2,FALSE),0)+IFERROR(VLOOKUP(N12,'장비 등급별 옵션'!$J$30:$N$34,2,FALSE),0)+IFERROR(VLOOKUP(O12,'장비 등급별 옵션'!$J$37:$N$40,2,FALSE),0)</f>
        <v>35079</v>
      </c>
      <c r="U12" s="15">
        <f>IFERROR(VLOOKUP(E12,'장비 등급별 옵션'!$A$2:$D$6,4,FALSE),0)+IFERROR(VLOOKUP(F12,'장비 등급별 옵션'!$A$9:$D$13,4,FALSE),0)+IFERROR(VLOOKUP(G12,'장비 등급별 옵션'!$A$16:$D$20,4,FALSE),0)+IFERROR(VLOOKUP(H12,'장비 등급별 옵션'!$A$23:$D$27,4,FALSE),0)+IFERROR(VLOOKUP(I12,'장비 등급별 옵션'!$A$30:$D$34,4,FALSE),0)+IFERROR(VLOOKUP(J12,'장비 등급별 옵션'!$J$2:$N$6,4,FALSE),0)+IFERROR(VLOOKUP(K12,'장비 등급별 옵션'!$J$9:$N$13,4,FALSE),0)+IFERROR(VLOOKUP(L12,'장비 등급별 옵션'!$J$16:$N$20,4,FALSE),0)+IFERROR(VLOOKUP(M12,'장비 등급별 옵션'!$J$23:$N$27,4,FALSE),0)+IFERROR(VLOOKUP(N12,'장비 등급별 옵션'!$J$30:$N$34,4,FALSE),0)+IFERROR(VLOOKUP(O12,'장비 등급별 옵션'!$J$37:$N$40,4,FALSE),0)</f>
        <v>130</v>
      </c>
      <c r="V12" s="15">
        <f>IFERROR(VLOOKUP(E12,'장비 등급별 옵션'!$A$2:$D$6,5,FALSE),0)+IFERROR(VLOOKUP(F12,'장비 등급별 옵션'!$A$9:$D$13,5,FALSE),0)+IFERROR(VLOOKUP(G12,'장비 등급별 옵션'!$A$16:$D$20,5,FALSE),0)+IFERROR(VLOOKUP(H12,'장비 등급별 옵션'!$A$23:$D$27,5,FALSE),0)+IFERROR(VLOOKUP(I12,'장비 등급별 옵션'!$A$30:$D$34,5,FALSE),0)+IFERROR(VLOOKUP(J12,'장비 등급별 옵션'!$J$2:$N$6,5,FALSE),0)+IFERROR(VLOOKUP(K12,'장비 등급별 옵션'!$J$9:$N$13,5,FALSE),0)+IFERROR(VLOOKUP(L12,'장비 등급별 옵션'!$J$16:$N$20,5,FALSE),0)+IFERROR(VLOOKUP(M12,'장비 등급별 옵션'!$J$23:$N$27,5,FALSE),0)+IFERROR(VLOOKUP(N12,'장비 등급별 옵션'!$J$30:$N$34,5,FALSE),0)+IFERROR(VLOOKUP(O12,'장비 등급별 옵션'!$J$37:$N$40,5,FALSE),0)</f>
        <v>15</v>
      </c>
      <c r="W12" s="14">
        <f>IFERROR(VLOOKUP(E12,'장비 등급별 옵션'!$A$2:$H$6,5,FALSE),0)+IFERROR(VLOOKUP(F12,'장비 등급별 옵션'!$A$9:$H$13,5,FALSE),0)+IFERROR(VLOOKUP(G12,'장비 등급별 옵션'!$A$16:$H$20,5,FALSE),0)+IFERROR(VLOOKUP(H12,'장비 등급별 옵션'!$A$23:$H$27,5,FALSE),0)+IFERROR(VLOOKUP(I12,'장비 등급별 옵션'!$A$30:$H$34,5,FALSE),0)+IFERROR(VLOOKUP(J12,'장비 등급별 옵션'!$J$2:$R$6,6,FALSE),0)+IFERROR(VLOOKUP(K12,'장비 등급별 옵션'!$J$9:$R$13,6,FALSE),0)+IFERROR(VLOOKUP(L12,'장비 등급별 옵션'!$J$16:$R$20,6,FALSE),0)+IFERROR(VLOOKUP(M12,'장비 등급별 옵션'!$J$23:$R$27,6,FALSE),0)+IFERROR(VLOOKUP(N12,'장비 등급별 옵션'!$J$30:$R$34,6,FALSE),0)+IFERROR(VLOOKUP(O12,'장비 등급별 옵션'!$J$37:$R$40,6,FALSE),0)</f>
        <v>1599</v>
      </c>
      <c r="X12" s="16">
        <f t="shared" si="2"/>
        <v>0.72346282794358718</v>
      </c>
      <c r="Y12" s="16">
        <f t="shared" si="3"/>
        <v>0.8842340317959666</v>
      </c>
      <c r="Z12" s="16">
        <f t="shared" si="4"/>
        <v>0.99900874493730152</v>
      </c>
      <c r="AA12" s="15">
        <f t="shared" si="5"/>
        <v>5681.6373723819488</v>
      </c>
      <c r="AB12" s="16">
        <f t="shared" si="6"/>
        <v>0.26587098191403674</v>
      </c>
      <c r="AC12" s="16">
        <f t="shared" si="7"/>
        <v>0.41602382458680154</v>
      </c>
      <c r="AD12" s="16">
        <f t="shared" si="8"/>
        <v>185.7</v>
      </c>
      <c r="AE12" s="14">
        <f t="shared" si="9"/>
        <v>3631</v>
      </c>
      <c r="AF12" s="14">
        <f t="shared" si="10"/>
        <v>0</v>
      </c>
    </row>
    <row r="13" spans="1:32" ht="16.5" customHeight="1">
      <c r="A13" s="10" t="s">
        <v>46</v>
      </c>
      <c r="B13" s="10">
        <v>1735</v>
      </c>
      <c r="C13" s="10">
        <v>4092</v>
      </c>
      <c r="D13" s="14">
        <f t="shared" si="0"/>
        <v>6336</v>
      </c>
      <c r="E13" s="10" t="s">
        <v>41</v>
      </c>
      <c r="F13" s="10" t="s">
        <v>41</v>
      </c>
      <c r="G13" s="10" t="s">
        <v>41</v>
      </c>
      <c r="H13" s="10" t="s">
        <v>41</v>
      </c>
      <c r="I13" s="10" t="s">
        <v>41</v>
      </c>
      <c r="J13" s="10" t="s">
        <v>41</v>
      </c>
      <c r="K13" s="10" t="s">
        <v>41</v>
      </c>
      <c r="L13" s="10" t="s">
        <v>41</v>
      </c>
      <c r="M13" s="10" t="s">
        <v>41</v>
      </c>
      <c r="N13" s="10" t="s">
        <v>41</v>
      </c>
      <c r="O13" s="10" t="s">
        <v>33</v>
      </c>
      <c r="P13" s="10">
        <v>4330</v>
      </c>
      <c r="Q13" s="16">
        <f t="shared" si="11"/>
        <v>8.8595634952846058</v>
      </c>
      <c r="R13" s="16">
        <f t="shared" si="1"/>
        <v>210.99170830686225</v>
      </c>
      <c r="S13" s="15">
        <f>(1+IFERROR(VLOOKUP(E13,'장비 등급별 옵션'!$A$2:$D$6,3,FALSE),0)/100)*(1+IFERROR(VLOOKUP(F13,'장비 등급별 옵션'!$A$9:$D$13,3,FALSE),0)/100)*(1+IFERROR(VLOOKUP(G13,'장비 등급별 옵션'!$A$16:$D$20,3,FALSE),0)/100)*(1+IFERROR(VLOOKUP(H13,'장비 등급별 옵션'!$A$23:$D$27,3,FALSE),0)/100)*(1+IFERROR(VLOOKUP(I13,'장비 등급별 옵션'!$A$30:$D$34,3,FALSE),0)/100)*(1+IFERROR(VLOOKUP(J13,'장비 등급별 옵션'!$J$2:$N$6,3,FALSE),0)/100)*(1+IFERROR(VLOOKUP(K13,'장비 등급별 옵션'!$J$9:$N$13,3,FALSE),0)/100)*(1+IFERROR(VLOOKUP(L13,'장비 등급별 옵션'!$J$16:$N$20,3,FALSE),0)/100)*(1+IFERROR(VLOOKUP(M13,'장비 등급별 옵션'!$J$23:$N$27,3,FALSE),0)/100)*(1+IFERROR(VLOOKUP(N13,'장비 등급별 옵션'!$J$30:$N$34,3,FALSE),0)/100)*(1+IFERROR(VLOOKUP(O13,'장비 등급별 옵션'!$J$37:$N$40,3,FALSE),0)/100)</f>
        <v>98.651287546206376</v>
      </c>
      <c r="T13" s="15">
        <f>IFERROR(VLOOKUP(E13,'장비 등급별 옵션'!$A$2:$D$6,2,FALSE),0)+IFERROR(VLOOKUP(F13,'장비 등급별 옵션'!$A$9:$D$13,2,FALSE),0)+IFERROR(VLOOKUP(G13,'장비 등급별 옵션'!$A$16:$D$20,2,FALSE),0)+IFERROR(VLOOKUP(H13,'장비 등급별 옵션'!$A$23:$D$27,2,FALSE),0)+IFERROR(VLOOKUP(I13,'장비 등급별 옵션'!$A$30:$D$34,2,FALSE),0)+IFERROR(VLOOKUP(J13,'장비 등급별 옵션'!$J$2:$N$6,2,FALSE),0)+IFERROR(VLOOKUP(K13,'장비 등급별 옵션'!$J$9:$N$13,2,FALSE),0)+IFERROR(VLOOKUP(L13,'장비 등급별 옵션'!$J$16:$N$20,2,FALSE),0)+IFERROR(VLOOKUP(M13,'장비 등급별 옵션'!$J$23:$N$27,2,FALSE),0)+IFERROR(VLOOKUP(N13,'장비 등급별 옵션'!$J$30:$N$34,2,FALSE),0)+IFERROR(VLOOKUP(O13,'장비 등급별 옵션'!$J$37:$N$40,2,FALSE),0)</f>
        <v>35079</v>
      </c>
      <c r="U13" s="15">
        <f>IFERROR(VLOOKUP(E13,'장비 등급별 옵션'!$A$2:$D$6,4,FALSE),0)+IFERROR(VLOOKUP(F13,'장비 등급별 옵션'!$A$9:$D$13,4,FALSE),0)+IFERROR(VLOOKUP(G13,'장비 등급별 옵션'!$A$16:$D$20,4,FALSE),0)+IFERROR(VLOOKUP(H13,'장비 등급별 옵션'!$A$23:$D$27,4,FALSE),0)+IFERROR(VLOOKUP(I13,'장비 등급별 옵션'!$A$30:$D$34,4,FALSE),0)+IFERROR(VLOOKUP(J13,'장비 등급별 옵션'!$J$2:$N$6,4,FALSE),0)+IFERROR(VLOOKUP(K13,'장비 등급별 옵션'!$J$9:$N$13,4,FALSE),0)+IFERROR(VLOOKUP(L13,'장비 등급별 옵션'!$J$16:$N$20,4,FALSE),0)+IFERROR(VLOOKUP(M13,'장비 등급별 옵션'!$J$23:$N$27,4,FALSE),0)+IFERROR(VLOOKUP(N13,'장비 등급별 옵션'!$J$30:$N$34,4,FALSE),0)+IFERROR(VLOOKUP(O13,'장비 등급별 옵션'!$J$37:$N$40,4,FALSE),0)</f>
        <v>130</v>
      </c>
      <c r="V13" s="15">
        <f>IFERROR(VLOOKUP(E13,'장비 등급별 옵션'!$A$2:$D$6,5,FALSE),0)+IFERROR(VLOOKUP(F13,'장비 등급별 옵션'!$A$9:$D$13,5,FALSE),0)+IFERROR(VLOOKUP(G13,'장비 등급별 옵션'!$A$16:$D$20,5,FALSE),0)+IFERROR(VLOOKUP(H13,'장비 등급별 옵션'!$A$23:$D$27,5,FALSE),0)+IFERROR(VLOOKUP(I13,'장비 등급별 옵션'!$A$30:$D$34,5,FALSE),0)+IFERROR(VLOOKUP(J13,'장비 등급별 옵션'!$J$2:$N$6,5,FALSE),0)+IFERROR(VLOOKUP(K13,'장비 등급별 옵션'!$J$9:$N$13,5,FALSE),0)+IFERROR(VLOOKUP(L13,'장비 등급별 옵션'!$J$16:$N$20,5,FALSE),0)+IFERROR(VLOOKUP(M13,'장비 등급별 옵션'!$J$23:$N$27,5,FALSE),0)+IFERROR(VLOOKUP(N13,'장비 등급별 옵션'!$J$30:$N$34,5,FALSE),0)+IFERROR(VLOOKUP(O13,'장비 등급별 옵션'!$J$37:$N$40,5,FALSE),0)</f>
        <v>15</v>
      </c>
      <c r="W13" s="14">
        <f>IFERROR(VLOOKUP(E13,'장비 등급별 옵션'!$A$2:$H$6,5,FALSE),0)+IFERROR(VLOOKUP(F13,'장비 등급별 옵션'!$A$9:$H$13,5,FALSE),0)+IFERROR(VLOOKUP(G13,'장비 등급별 옵션'!$A$16:$H$20,5,FALSE),0)+IFERROR(VLOOKUP(H13,'장비 등급별 옵션'!$A$23:$H$27,5,FALSE),0)+IFERROR(VLOOKUP(I13,'장비 등급별 옵션'!$A$30:$H$34,5,FALSE),0)+IFERROR(VLOOKUP(J13,'장비 등급별 옵션'!$J$2:$R$6,6,FALSE),0)+IFERROR(VLOOKUP(K13,'장비 등급별 옵션'!$J$9:$R$13,6,FALSE),0)+IFERROR(VLOOKUP(L13,'장비 등급별 옵션'!$J$16:$R$20,6,FALSE),0)+IFERROR(VLOOKUP(M13,'장비 등급별 옵션'!$J$23:$R$27,6,FALSE),0)+IFERROR(VLOOKUP(N13,'장비 등급별 옵션'!$J$30:$R$34,6,FALSE),0)+IFERROR(VLOOKUP(O13,'장비 등급별 옵션'!$J$37:$R$40,6,FALSE),0)</f>
        <v>1602</v>
      </c>
      <c r="X13" s="16">
        <f t="shared" si="2"/>
        <v>0.73878083311589748</v>
      </c>
      <c r="Y13" s="16">
        <f t="shared" si="3"/>
        <v>0.89639626987247911</v>
      </c>
      <c r="Z13" s="16">
        <f t="shared" si="4"/>
        <v>0.99903307021491372</v>
      </c>
      <c r="AA13" s="15">
        <f t="shared" si="5"/>
        <v>6185.0056429599463</v>
      </c>
      <c r="AB13" s="16">
        <f t="shared" si="6"/>
        <v>0.29962656513143443</v>
      </c>
      <c r="AC13" s="16">
        <f t="shared" si="7"/>
        <v>0.45288171948158062</v>
      </c>
      <c r="AD13" s="16">
        <f t="shared" si="8"/>
        <v>211</v>
      </c>
      <c r="AE13" s="14">
        <f t="shared" si="9"/>
        <v>4092</v>
      </c>
      <c r="AF13" s="14">
        <f t="shared" si="10"/>
        <v>0</v>
      </c>
    </row>
    <row r="14" spans="1:32" ht="16.5" customHeight="1">
      <c r="A14" s="10" t="s">
        <v>47</v>
      </c>
      <c r="B14" s="10">
        <v>1820</v>
      </c>
      <c r="C14" s="10">
        <v>4597</v>
      </c>
      <c r="D14" s="14">
        <f t="shared" si="0"/>
        <v>6389</v>
      </c>
      <c r="E14" s="10" t="s">
        <v>48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>
        <v>5247</v>
      </c>
      <c r="Q14" s="16">
        <f t="shared" si="11"/>
        <v>8.5030661420348217</v>
      </c>
      <c r="R14" s="16">
        <f t="shared" si="1"/>
        <v>237.43553896043875</v>
      </c>
      <c r="S14" s="15">
        <f>(1+IFERROR(VLOOKUP(E14,'장비 등급별 옵션'!$A$2:$D$6,3,FALSE),0)/100)*(1+IFERROR(VLOOKUP(F14,'장비 등급별 옵션'!$A$9:$D$13,3,FALSE),0)/100)*(1+IFERROR(VLOOKUP(G14,'장비 등급별 옵션'!$A$16:$D$20,3,FALSE),0)/100)*(1+IFERROR(VLOOKUP(H14,'장비 등급별 옵션'!$A$23:$D$27,3,FALSE),0)/100)*(1+IFERROR(VLOOKUP(I14,'장비 등급별 옵션'!$A$30:$D$34,3,FALSE),0)/100)*(1+IFERROR(VLOOKUP(J14,'장비 등급별 옵션'!$J$2:$N$6,3,FALSE),0)/100)*(1+IFERROR(VLOOKUP(K14,'장비 등급별 옵션'!$J$9:$N$13,3,FALSE),0)/100)*(1+IFERROR(VLOOKUP(L14,'장비 등급별 옵션'!$J$16:$N$20,3,FALSE),0)/100)*(1+IFERROR(VLOOKUP(M14,'장비 등급별 옵션'!$J$23:$N$27,3,FALSE),0)/100)*(1+IFERROR(VLOOKUP(N14,'장비 등급별 옵션'!$J$30:$N$34,3,FALSE),0)/100)*(1+IFERROR(VLOOKUP(O14,'장비 등급별 옵션'!$J$37:$N$40,3,FALSE),0)/100)</f>
        <v>100.65010448341711</v>
      </c>
      <c r="T14" s="15">
        <f>IFERROR(VLOOKUP(E14,'장비 등급별 옵션'!$A$2:$D$6,2,FALSE),0)+IFERROR(VLOOKUP(F14,'장비 등급별 옵션'!$A$9:$D$13,2,FALSE),0)+IFERROR(VLOOKUP(G14,'장비 등급별 옵션'!$A$16:$D$20,2,FALSE),0)+IFERROR(VLOOKUP(H14,'장비 등급별 옵션'!$A$23:$D$27,2,FALSE),0)+IFERROR(VLOOKUP(I14,'장비 등급별 옵션'!$A$30:$D$34,2,FALSE),0)+IFERROR(VLOOKUP(J14,'장비 등급별 옵션'!$J$2:$N$6,2,FALSE),0)+IFERROR(VLOOKUP(K14,'장비 등급별 옵션'!$J$9:$N$13,2,FALSE),0)+IFERROR(VLOOKUP(L14,'장비 등급별 옵션'!$J$16:$N$20,2,FALSE),0)+IFERROR(VLOOKUP(M14,'장비 등급별 옵션'!$J$23:$N$27,2,FALSE),0)+IFERROR(VLOOKUP(N14,'장비 등급별 옵션'!$J$30:$N$34,2,FALSE),0)+IFERROR(VLOOKUP(O14,'장비 등급별 옵션'!$J$37:$N$40,2,FALSE),0)</f>
        <v>35079</v>
      </c>
      <c r="U14" s="15">
        <f>IFERROR(VLOOKUP(E14,'장비 등급별 옵션'!$A$2:$D$6,4,FALSE),0)+IFERROR(VLOOKUP(F14,'장비 등급별 옵션'!$A$9:$D$13,4,FALSE),0)+IFERROR(VLOOKUP(G14,'장비 등급별 옵션'!$A$16:$D$20,4,FALSE),0)+IFERROR(VLOOKUP(H14,'장비 등급별 옵션'!$A$23:$D$27,4,FALSE),0)+IFERROR(VLOOKUP(I14,'장비 등급별 옵션'!$A$30:$D$34,4,FALSE),0)+IFERROR(VLOOKUP(J14,'장비 등급별 옵션'!$J$2:$N$6,4,FALSE),0)+IFERROR(VLOOKUP(K14,'장비 등급별 옵션'!$J$9:$N$13,4,FALSE),0)+IFERROR(VLOOKUP(L14,'장비 등급별 옵션'!$J$16:$N$20,4,FALSE),0)+IFERROR(VLOOKUP(M14,'장비 등급별 옵션'!$J$23:$N$27,4,FALSE),0)+IFERROR(VLOOKUP(N14,'장비 등급별 옵션'!$J$30:$N$34,4,FALSE),0)+IFERROR(VLOOKUP(O14,'장비 등급별 옵션'!$J$37:$N$40,4,FALSE),0)</f>
        <v>130</v>
      </c>
      <c r="V14" s="15">
        <f>IFERROR(VLOOKUP(E14,'장비 등급별 옵션'!$A$2:$D$6,5,FALSE),0)+IFERROR(VLOOKUP(F14,'장비 등급별 옵션'!$A$9:$D$13,5,FALSE),0)+IFERROR(VLOOKUP(G14,'장비 등급별 옵션'!$A$16:$D$20,5,FALSE),0)+IFERROR(VLOOKUP(H14,'장비 등급별 옵션'!$A$23:$D$27,5,FALSE),0)+IFERROR(VLOOKUP(I14,'장비 등급별 옵션'!$A$30:$D$34,5,FALSE),0)+IFERROR(VLOOKUP(J14,'장비 등급별 옵션'!$J$2:$N$6,5,FALSE),0)+IFERROR(VLOOKUP(K14,'장비 등급별 옵션'!$J$9:$N$13,5,FALSE),0)+IFERROR(VLOOKUP(L14,'장비 등급별 옵션'!$J$16:$N$20,5,FALSE),0)+IFERROR(VLOOKUP(M14,'장비 등급별 옵션'!$J$23:$N$27,5,FALSE),0)+IFERROR(VLOOKUP(N14,'장비 등급별 옵션'!$J$30:$N$34,5,FALSE),0)+IFERROR(VLOOKUP(O14,'장비 등급별 옵션'!$J$37:$N$40,5,FALSE),0)</f>
        <v>15</v>
      </c>
      <c r="W14" s="14">
        <f>IFERROR(VLOOKUP(E14,'장비 등급별 옵션'!$A$2:$H$6,5,FALSE),0)+IFERROR(VLOOKUP(F14,'장비 등급별 옵션'!$A$9:$H$13,5,FALSE),0)+IFERROR(VLOOKUP(G14,'장비 등급별 옵션'!$A$16:$H$20,5,FALSE),0)+IFERROR(VLOOKUP(H14,'장비 등급별 옵션'!$A$23:$H$27,5,FALSE),0)+IFERROR(VLOOKUP(I14,'장비 등급별 옵션'!$A$30:$H$34,5,FALSE),0)+IFERROR(VLOOKUP(J14,'장비 등급별 옵션'!$J$2:$R$6,6,FALSE),0)+IFERROR(VLOOKUP(K14,'장비 등급별 옵션'!$J$9:$R$13,6,FALSE),0)+IFERROR(VLOOKUP(L14,'장비 등급별 옵션'!$J$16:$R$20,6,FALSE),0)+IFERROR(VLOOKUP(M14,'장비 등급별 옵션'!$J$23:$R$27,6,FALSE),0)+IFERROR(VLOOKUP(N14,'장비 등급별 옵션'!$J$30:$R$34,6,FALSE),0)+IFERROR(VLOOKUP(O14,'장비 등급별 옵션'!$J$37:$R$40,6,FALSE),0)</f>
        <v>1655</v>
      </c>
      <c r="X14" s="16">
        <f t="shared" si="2"/>
        <v>0.75374959509406281</v>
      </c>
      <c r="Y14" s="16">
        <f t="shared" si="3"/>
        <v>0.90927475984495265</v>
      </c>
      <c r="Z14" s="16">
        <f t="shared" si="4"/>
        <v>0.99947092521193392</v>
      </c>
      <c r="AA14" s="15">
        <f t="shared" si="5"/>
        <v>6710.9207636694173</v>
      </c>
      <c r="AB14" s="16">
        <f t="shared" si="6"/>
        <v>0.33660393937175076</v>
      </c>
      <c r="AC14" s="16">
        <f t="shared" si="7"/>
        <v>0.49139055163428402</v>
      </c>
      <c r="AD14" s="16">
        <f t="shared" si="8"/>
        <v>237.4</v>
      </c>
      <c r="AE14" s="14">
        <f t="shared" si="9"/>
        <v>4597</v>
      </c>
      <c r="AF14" s="14">
        <f t="shared" si="10"/>
        <v>0</v>
      </c>
    </row>
    <row r="15" spans="1:32" ht="16.5" customHeight="1">
      <c r="A15" s="10" t="s">
        <v>49</v>
      </c>
      <c r="B15" s="10">
        <v>1905</v>
      </c>
      <c r="C15" s="10">
        <v>5009</v>
      </c>
      <c r="D15" s="14">
        <f t="shared" si="0"/>
        <v>6390</v>
      </c>
      <c r="E15" s="10" t="s">
        <v>48</v>
      </c>
      <c r="F15" s="10" t="s">
        <v>48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>
        <v>5731</v>
      </c>
      <c r="Q15" s="16">
        <f t="shared" si="11"/>
        <v>7.0821532873021287</v>
      </c>
      <c r="R15" s="16">
        <f t="shared" si="1"/>
        <v>261.3332410754511</v>
      </c>
      <c r="S15" s="15">
        <f>(1+IFERROR(VLOOKUP(E15,'장비 등급별 옵션'!$A$2:$D$6,3,FALSE),0)/100)*(1+IFERROR(VLOOKUP(F15,'장비 등급별 옵션'!$A$9:$D$13,3,FALSE),0)/100)*(1+IFERROR(VLOOKUP(G15,'장비 등급별 옵션'!$A$16:$D$20,3,FALSE),0)/100)*(1+IFERROR(VLOOKUP(H15,'장비 등급별 옵션'!$A$23:$D$27,3,FALSE),0)/100)*(1+IFERROR(VLOOKUP(I15,'장비 등급별 옵션'!$A$30:$D$34,3,FALSE),0)/100)*(1+IFERROR(VLOOKUP(J15,'장비 등급별 옵션'!$J$2:$N$6,3,FALSE),0)/100)*(1+IFERROR(VLOOKUP(K15,'장비 등급별 옵션'!$J$9:$N$13,3,FALSE),0)/100)*(1+IFERROR(VLOOKUP(L15,'장비 등급별 옵션'!$J$16:$N$20,3,FALSE),0)/100)*(1+IFERROR(VLOOKUP(M15,'장비 등급별 옵션'!$J$23:$N$27,3,FALSE),0)/100)*(1+IFERROR(VLOOKUP(N15,'장비 등급별 옵션'!$J$30:$N$34,3,FALSE),0)/100)*(1+IFERROR(VLOOKUP(O15,'장비 등급별 옵션'!$J$37:$N$40,3,FALSE),0)/100)</f>
        <v>101.6566055282513</v>
      </c>
      <c r="T15" s="15">
        <f>IFERROR(VLOOKUP(E15,'장비 등급별 옵션'!$A$2:$D$6,2,FALSE),0)+IFERROR(VLOOKUP(F15,'장비 등급별 옵션'!$A$9:$D$13,2,FALSE),0)+IFERROR(VLOOKUP(G15,'장비 등급별 옵션'!$A$16:$D$20,2,FALSE),0)+IFERROR(VLOOKUP(H15,'장비 등급별 옵션'!$A$23:$D$27,2,FALSE),0)+IFERROR(VLOOKUP(I15,'장비 등급별 옵션'!$A$30:$D$34,2,FALSE),0)+IFERROR(VLOOKUP(J15,'장비 등급별 옵션'!$J$2:$N$6,2,FALSE),0)+IFERROR(VLOOKUP(K15,'장비 등급별 옵션'!$J$9:$N$13,2,FALSE),0)+IFERROR(VLOOKUP(L15,'장비 등급별 옵션'!$J$16:$N$20,2,FALSE),0)+IFERROR(VLOOKUP(M15,'장비 등급별 옵션'!$J$23:$N$27,2,FALSE),0)+IFERROR(VLOOKUP(N15,'장비 등급별 옵션'!$J$30:$N$34,2,FALSE),0)+IFERROR(VLOOKUP(O15,'장비 등급별 옵션'!$J$37:$N$40,2,FALSE),0)</f>
        <v>35079</v>
      </c>
      <c r="U15" s="15">
        <f>IFERROR(VLOOKUP(E15,'장비 등급별 옵션'!$A$2:$D$6,4,FALSE),0)+IFERROR(VLOOKUP(F15,'장비 등급별 옵션'!$A$9:$D$13,4,FALSE),0)+IFERROR(VLOOKUP(G15,'장비 등급별 옵션'!$A$16:$D$20,4,FALSE),0)+IFERROR(VLOOKUP(H15,'장비 등급별 옵션'!$A$23:$D$27,4,FALSE),0)+IFERROR(VLOOKUP(I15,'장비 등급별 옵션'!$A$30:$D$34,4,FALSE),0)+IFERROR(VLOOKUP(J15,'장비 등급별 옵션'!$J$2:$N$6,4,FALSE),0)+IFERROR(VLOOKUP(K15,'장비 등급별 옵션'!$J$9:$N$13,4,FALSE),0)+IFERROR(VLOOKUP(L15,'장비 등급별 옵션'!$J$16:$N$20,4,FALSE),0)+IFERROR(VLOOKUP(M15,'장비 등급별 옵션'!$J$23:$N$27,4,FALSE),0)+IFERROR(VLOOKUP(N15,'장비 등급별 옵션'!$J$30:$N$34,4,FALSE),0)+IFERROR(VLOOKUP(O15,'장비 등급별 옵션'!$J$37:$N$40,4,FALSE),0)</f>
        <v>130</v>
      </c>
      <c r="V15" s="15">
        <f>IFERROR(VLOOKUP(E15,'장비 등급별 옵션'!$A$2:$D$6,5,FALSE),0)+IFERROR(VLOOKUP(F15,'장비 등급별 옵션'!$A$9:$D$13,5,FALSE),0)+IFERROR(VLOOKUP(G15,'장비 등급별 옵션'!$A$16:$D$20,5,FALSE),0)+IFERROR(VLOOKUP(H15,'장비 등급별 옵션'!$A$23:$D$27,5,FALSE),0)+IFERROR(VLOOKUP(I15,'장비 등급별 옵션'!$A$30:$D$34,5,FALSE),0)+IFERROR(VLOOKUP(J15,'장비 등급별 옵션'!$J$2:$N$6,5,FALSE),0)+IFERROR(VLOOKUP(K15,'장비 등급별 옵션'!$J$9:$N$13,5,FALSE),0)+IFERROR(VLOOKUP(L15,'장비 등급별 옵션'!$J$16:$N$20,5,FALSE),0)+IFERROR(VLOOKUP(M15,'장비 등급별 옵션'!$J$23:$N$27,5,FALSE),0)+IFERROR(VLOOKUP(N15,'장비 등급별 옵션'!$J$30:$N$34,5,FALSE),0)+IFERROR(VLOOKUP(O15,'장비 등급별 옵션'!$J$37:$N$40,5,FALSE),0)</f>
        <v>15</v>
      </c>
      <c r="W15" s="14">
        <f>IFERROR(VLOOKUP(E15,'장비 등급별 옵션'!$A$2:$H$6,5,FALSE),0)+IFERROR(VLOOKUP(F15,'장비 등급별 옵션'!$A$9:$H$13,5,FALSE),0)+IFERROR(VLOOKUP(G15,'장비 등급별 옵션'!$A$16:$H$20,5,FALSE),0)+IFERROR(VLOOKUP(H15,'장비 등급별 옵션'!$A$23:$H$27,5,FALSE),0)+IFERROR(VLOOKUP(I15,'장비 등급별 옵션'!$A$30:$H$34,5,FALSE),0)+IFERROR(VLOOKUP(J15,'장비 등급별 옵션'!$J$2:$R$6,6,FALSE),0)+IFERROR(VLOOKUP(K15,'장비 등급별 옵션'!$J$9:$R$13,6,FALSE),0)+IFERROR(VLOOKUP(L15,'장비 등급별 옵션'!$J$16:$R$20,6,FALSE),0)+IFERROR(VLOOKUP(M15,'장비 등급별 옵션'!$J$23:$R$27,6,FALSE),0)+IFERROR(VLOOKUP(N15,'장비 등급별 옵션'!$J$30:$R$34,6,FALSE),0)+IFERROR(VLOOKUP(O15,'장비 등급별 옵션'!$J$37:$R$40,6,FALSE),0)</f>
        <v>1656</v>
      </c>
      <c r="X15" s="16">
        <f t="shared" si="2"/>
        <v>0.76128709104500369</v>
      </c>
      <c r="Y15" s="16">
        <f t="shared" si="3"/>
        <v>0.91607213077916971</v>
      </c>
      <c r="Z15" s="16">
        <f t="shared" si="4"/>
        <v>0.99947903363780477</v>
      </c>
      <c r="AA15" s="15">
        <f t="shared" si="5"/>
        <v>7186.1984591418732</v>
      </c>
      <c r="AB15" s="16">
        <f t="shared" si="6"/>
        <v>0.366771618949989</v>
      </c>
      <c r="AC15" s="16">
        <f t="shared" si="7"/>
        <v>0.52619158374034358</v>
      </c>
      <c r="AD15" s="16">
        <f t="shared" si="8"/>
        <v>261.3</v>
      </c>
      <c r="AE15" s="14">
        <f t="shared" si="9"/>
        <v>5009</v>
      </c>
      <c r="AF15" s="14">
        <f t="shared" si="10"/>
        <v>0</v>
      </c>
    </row>
    <row r="16" spans="1:32" ht="16.5" customHeight="1">
      <c r="A16" s="10" t="s">
        <v>50</v>
      </c>
      <c r="B16" s="10">
        <v>1990</v>
      </c>
      <c r="C16" s="10">
        <v>5586</v>
      </c>
      <c r="D16" s="14">
        <f t="shared" si="0"/>
        <v>6392</v>
      </c>
      <c r="E16" s="10" t="s">
        <v>48</v>
      </c>
      <c r="F16" s="10" t="s">
        <v>48</v>
      </c>
      <c r="G16" s="10" t="s">
        <v>48</v>
      </c>
      <c r="H16" s="10" t="s">
        <v>48</v>
      </c>
      <c r="I16" s="10" t="s">
        <v>41</v>
      </c>
      <c r="J16" s="10" t="s">
        <v>41</v>
      </c>
      <c r="K16" s="10" t="s">
        <v>41</v>
      </c>
      <c r="L16" s="10" t="s">
        <v>41</v>
      </c>
      <c r="M16" s="10" t="s">
        <v>41</v>
      </c>
      <c r="N16" s="10" t="s">
        <v>41</v>
      </c>
      <c r="O16" s="10" t="s">
        <v>41</v>
      </c>
      <c r="P16" s="10">
        <v>6699</v>
      </c>
      <c r="Q16" s="16">
        <f t="shared" si="11"/>
        <v>7.7847433457316262</v>
      </c>
      <c r="R16" s="16">
        <f t="shared" si="1"/>
        <v>289.46210651598869</v>
      </c>
      <c r="S16" s="15">
        <f>(1+IFERROR(VLOOKUP(E16,'장비 등급별 옵션'!$A$2:$D$6,3,FALSE),0)/100)*(1+IFERROR(VLOOKUP(F16,'장비 등급별 옵션'!$A$9:$D$13,3,FALSE),0)/100)*(1+IFERROR(VLOOKUP(G16,'장비 등급별 옵션'!$A$16:$D$20,3,FALSE),0)/100)*(1+IFERROR(VLOOKUP(H16,'장비 등급별 옵션'!$A$23:$D$27,3,FALSE),0)/100)*(1+IFERROR(VLOOKUP(I16,'장비 등급별 옵션'!$A$30:$D$34,3,FALSE),0)/100)*(1+IFERROR(VLOOKUP(J16,'장비 등급별 옵션'!$J$2:$N$6,3,FALSE),0)/100)*(1+IFERROR(VLOOKUP(K16,'장비 등급별 옵션'!$J$9:$N$13,3,FALSE),0)/100)*(1+IFERROR(VLOOKUP(L16,'장비 등급별 옵션'!$J$16:$N$20,3,FALSE),0)/100)*(1+IFERROR(VLOOKUP(M16,'장비 등급별 옵션'!$J$23:$N$27,3,FALSE),0)/100)*(1+IFERROR(VLOOKUP(N16,'장비 등급별 옵션'!$J$30:$N$34,3,FALSE),0)/100)*(1+IFERROR(VLOOKUP(O16,'장비 등급별 옵션'!$J$37:$N$40,3,FALSE),0)/100)</f>
        <v>103.63885339081368</v>
      </c>
      <c r="T16" s="15">
        <f>IFERROR(VLOOKUP(E16,'장비 등급별 옵션'!$A$2:$D$6,2,FALSE),0)+IFERROR(VLOOKUP(F16,'장비 등급별 옵션'!$A$9:$D$13,2,FALSE),0)+IFERROR(VLOOKUP(G16,'장비 등급별 옵션'!$A$16:$D$20,2,FALSE),0)+IFERROR(VLOOKUP(H16,'장비 등급별 옵션'!$A$23:$D$27,2,FALSE),0)+IFERROR(VLOOKUP(I16,'장비 등급별 옵션'!$A$30:$D$34,2,FALSE),0)+IFERROR(VLOOKUP(J16,'장비 등급별 옵션'!$J$2:$N$6,2,FALSE),0)+IFERROR(VLOOKUP(K16,'장비 등급별 옵션'!$J$9:$N$13,2,FALSE),0)+IFERROR(VLOOKUP(L16,'장비 등급별 옵션'!$J$16:$N$20,2,FALSE),0)+IFERROR(VLOOKUP(M16,'장비 등급별 옵션'!$J$23:$N$27,2,FALSE),0)+IFERROR(VLOOKUP(N16,'장비 등급별 옵션'!$J$30:$N$34,2,FALSE),0)+IFERROR(VLOOKUP(O16,'장비 등급별 옵션'!$J$37:$N$40,2,FALSE),0)</f>
        <v>35079</v>
      </c>
      <c r="U16" s="15">
        <f>IFERROR(VLOOKUP(E16,'장비 등급별 옵션'!$A$2:$D$6,4,FALSE),0)+IFERROR(VLOOKUP(F16,'장비 등급별 옵션'!$A$9:$D$13,4,FALSE),0)+IFERROR(VLOOKUP(G16,'장비 등급별 옵션'!$A$16:$D$20,4,FALSE),0)+IFERROR(VLOOKUP(H16,'장비 등급별 옵션'!$A$23:$D$27,4,FALSE),0)+IFERROR(VLOOKUP(I16,'장비 등급별 옵션'!$A$30:$D$34,4,FALSE),0)+IFERROR(VLOOKUP(J16,'장비 등급별 옵션'!$J$2:$N$6,4,FALSE),0)+IFERROR(VLOOKUP(K16,'장비 등급별 옵션'!$J$9:$N$13,4,FALSE),0)+IFERROR(VLOOKUP(L16,'장비 등급별 옵션'!$J$16:$N$20,4,FALSE),0)+IFERROR(VLOOKUP(M16,'장비 등급별 옵션'!$J$23:$N$27,4,FALSE),0)+IFERROR(VLOOKUP(N16,'장비 등급별 옵션'!$J$30:$N$34,4,FALSE),0)+IFERROR(VLOOKUP(O16,'장비 등급별 옵션'!$J$37:$N$40,4,FALSE),0)</f>
        <v>130</v>
      </c>
      <c r="V16" s="15">
        <f>IFERROR(VLOOKUP(E16,'장비 등급별 옵션'!$A$2:$D$6,5,FALSE),0)+IFERROR(VLOOKUP(F16,'장비 등급별 옵션'!$A$9:$D$13,5,FALSE),0)+IFERROR(VLOOKUP(G16,'장비 등급별 옵션'!$A$16:$D$20,5,FALSE),0)+IFERROR(VLOOKUP(H16,'장비 등급별 옵션'!$A$23:$D$27,5,FALSE),0)+IFERROR(VLOOKUP(I16,'장비 등급별 옵션'!$A$30:$D$34,5,FALSE),0)+IFERROR(VLOOKUP(J16,'장비 등급별 옵션'!$J$2:$N$6,5,FALSE),0)+IFERROR(VLOOKUP(K16,'장비 등급별 옵션'!$J$9:$N$13,5,FALSE),0)+IFERROR(VLOOKUP(L16,'장비 등급별 옵션'!$J$16:$N$20,5,FALSE),0)+IFERROR(VLOOKUP(M16,'장비 등급별 옵션'!$J$23:$N$27,5,FALSE),0)+IFERROR(VLOOKUP(N16,'장비 등급별 옵션'!$J$30:$N$34,5,FALSE),0)+IFERROR(VLOOKUP(O16,'장비 등급별 옵션'!$J$37:$N$40,5,FALSE),0)</f>
        <v>15</v>
      </c>
      <c r="W16" s="14">
        <f>IFERROR(VLOOKUP(E16,'장비 등급별 옵션'!$A$2:$H$6,5,FALSE),0)+IFERROR(VLOOKUP(F16,'장비 등급별 옵션'!$A$9:$H$13,5,FALSE),0)+IFERROR(VLOOKUP(G16,'장비 등급별 옵션'!$A$16:$H$20,5,FALSE),0)+IFERROR(VLOOKUP(H16,'장비 등급별 옵션'!$A$23:$H$27,5,FALSE),0)+IFERROR(VLOOKUP(I16,'장비 등급별 옵션'!$A$30:$H$34,5,FALSE),0)+IFERROR(VLOOKUP(J16,'장비 등급별 옵션'!$J$2:$R$6,6,FALSE),0)+IFERROR(VLOOKUP(K16,'장비 등급별 옵션'!$J$9:$R$13,6,FALSE),0)+IFERROR(VLOOKUP(L16,'장비 등급별 옵션'!$J$16:$R$20,6,FALSE),0)+IFERROR(VLOOKUP(M16,'장비 등급별 옵션'!$J$23:$R$27,6,FALSE),0)+IFERROR(VLOOKUP(N16,'장비 등급별 옵션'!$J$30:$R$34,6,FALSE),0)+IFERROR(VLOOKUP(O16,'장비 등급별 옵션'!$J$37:$R$40,6,FALSE),0)</f>
        <v>1658</v>
      </c>
      <c r="X16" s="16">
        <f t="shared" si="2"/>
        <v>0.77613177035707159</v>
      </c>
      <c r="Y16" s="16">
        <f t="shared" si="3"/>
        <v>0.92966687264760417</v>
      </c>
      <c r="Z16" s="16">
        <f t="shared" si="4"/>
        <v>0.99949727759601381</v>
      </c>
      <c r="AA16" s="15">
        <f t="shared" si="5"/>
        <v>7745.6255655009872</v>
      </c>
      <c r="AB16" s="16">
        <f t="shared" si="6"/>
        <v>0.40902101486417219</v>
      </c>
      <c r="AC16" s="16">
        <f t="shared" si="7"/>
        <v>0.56715424804136971</v>
      </c>
      <c r="AD16" s="16">
        <f t="shared" si="8"/>
        <v>289.5</v>
      </c>
      <c r="AE16" s="14">
        <f t="shared" si="9"/>
        <v>5586</v>
      </c>
      <c r="AF16" s="14">
        <f t="shared" si="10"/>
        <v>0</v>
      </c>
    </row>
    <row r="17" spans="1:32" ht="16.5" customHeight="1">
      <c r="A17" s="10" t="s">
        <v>51</v>
      </c>
      <c r="B17" s="10">
        <v>2100</v>
      </c>
      <c r="C17" s="10">
        <v>6071</v>
      </c>
      <c r="D17" s="14">
        <f t="shared" si="0"/>
        <v>6393</v>
      </c>
      <c r="E17" s="10" t="s">
        <v>48</v>
      </c>
      <c r="F17" s="10" t="s">
        <v>48</v>
      </c>
      <c r="G17" s="10" t="s">
        <v>48</v>
      </c>
      <c r="H17" s="10" t="s">
        <v>48</v>
      </c>
      <c r="I17" s="10" t="s">
        <v>48</v>
      </c>
      <c r="J17" s="10" t="s">
        <v>48</v>
      </c>
      <c r="K17" s="10" t="s">
        <v>41</v>
      </c>
      <c r="L17" s="10" t="s">
        <v>41</v>
      </c>
      <c r="M17" s="10" t="s">
        <v>41</v>
      </c>
      <c r="N17" s="10" t="s">
        <v>41</v>
      </c>
      <c r="O17" s="10" t="s">
        <v>41</v>
      </c>
      <c r="P17" s="10">
        <v>7667</v>
      </c>
      <c r="Q17" s="16">
        <f t="shared" si="11"/>
        <v>5.0665177344110246</v>
      </c>
      <c r="R17" s="16">
        <f t="shared" si="1"/>
        <v>309.19427321143206</v>
      </c>
      <c r="S17" s="15">
        <f>(1+IFERROR(VLOOKUP(E17,'장비 등급별 옵션'!$A$2:$D$6,3,FALSE),0)/100)*(1+IFERROR(VLOOKUP(F17,'장비 등급별 옵션'!$A$9:$D$13,3,FALSE),0)/100)*(1+IFERROR(VLOOKUP(G17,'장비 등급별 옵션'!$A$16:$D$20,3,FALSE),0)/100)*(1+IFERROR(VLOOKUP(H17,'장비 등급별 옵션'!$A$23:$D$27,3,FALSE),0)/100)*(1+IFERROR(VLOOKUP(I17,'장비 등급별 옵션'!$A$30:$D$34,3,FALSE),0)/100)*(1+IFERROR(VLOOKUP(J17,'장비 등급별 옵션'!$J$2:$N$6,3,FALSE),0)/100)*(1+IFERROR(VLOOKUP(K17,'장비 등급별 옵션'!$J$9:$N$13,3,FALSE),0)/100)*(1+IFERROR(VLOOKUP(L17,'장비 등급별 옵션'!$J$16:$N$20,3,FALSE),0)/100)*(1+IFERROR(VLOOKUP(M17,'장비 등급별 옵션'!$J$23:$N$27,3,FALSE),0)/100)*(1+IFERROR(VLOOKUP(N17,'장비 등급별 옵션'!$J$30:$N$34,3,FALSE),0)/100)*(1+IFERROR(VLOOKUP(O17,'장비 등급별 옵션'!$J$37:$N$40,3,FALSE),0)/100)</f>
        <v>105.65966604110069</v>
      </c>
      <c r="T17" s="15">
        <f>IFERROR(VLOOKUP(E17,'장비 등급별 옵션'!$A$2:$D$6,2,FALSE),0)+IFERROR(VLOOKUP(F17,'장비 등급별 옵션'!$A$9:$D$13,2,FALSE),0)+IFERROR(VLOOKUP(G17,'장비 등급별 옵션'!$A$16:$D$20,2,FALSE),0)+IFERROR(VLOOKUP(H17,'장비 등급별 옵션'!$A$23:$D$27,2,FALSE),0)+IFERROR(VLOOKUP(I17,'장비 등급별 옵션'!$A$30:$D$34,2,FALSE),0)+IFERROR(VLOOKUP(J17,'장비 등급별 옵션'!$J$2:$N$6,2,FALSE),0)+IFERROR(VLOOKUP(K17,'장비 등급별 옵션'!$J$9:$N$13,2,FALSE),0)+IFERROR(VLOOKUP(L17,'장비 등급별 옵션'!$J$16:$N$20,2,FALSE),0)+IFERROR(VLOOKUP(M17,'장비 등급별 옵션'!$J$23:$N$27,2,FALSE),0)+IFERROR(VLOOKUP(N17,'장비 등급별 옵션'!$J$30:$N$34,2,FALSE),0)+IFERROR(VLOOKUP(O17,'장비 등급별 옵션'!$J$37:$N$40,2,FALSE),0)</f>
        <v>35079</v>
      </c>
      <c r="U17" s="15">
        <f>IFERROR(VLOOKUP(E17,'장비 등급별 옵션'!$A$2:$D$6,4,FALSE),0)+IFERROR(VLOOKUP(F17,'장비 등급별 옵션'!$A$9:$D$13,4,FALSE),0)+IFERROR(VLOOKUP(G17,'장비 등급별 옵션'!$A$16:$D$20,4,FALSE),0)+IFERROR(VLOOKUP(H17,'장비 등급별 옵션'!$A$23:$D$27,4,FALSE),0)+IFERROR(VLOOKUP(I17,'장비 등급별 옵션'!$A$30:$D$34,4,FALSE),0)+IFERROR(VLOOKUP(J17,'장비 등급별 옵션'!$J$2:$N$6,4,FALSE),0)+IFERROR(VLOOKUP(K17,'장비 등급별 옵션'!$J$9:$N$13,4,FALSE),0)+IFERROR(VLOOKUP(L17,'장비 등급별 옵션'!$J$16:$N$20,4,FALSE),0)+IFERROR(VLOOKUP(M17,'장비 등급별 옵션'!$J$23:$N$27,4,FALSE),0)+IFERROR(VLOOKUP(N17,'장비 등급별 옵션'!$J$30:$N$34,4,FALSE),0)+IFERROR(VLOOKUP(O17,'장비 등급별 옵션'!$J$37:$N$40,4,FALSE),0)</f>
        <v>130</v>
      </c>
      <c r="V17" s="15">
        <f>IFERROR(VLOOKUP(E17,'장비 등급별 옵션'!$A$2:$D$6,5,FALSE),0)+IFERROR(VLOOKUP(F17,'장비 등급별 옵션'!$A$9:$D$13,5,FALSE),0)+IFERROR(VLOOKUP(G17,'장비 등급별 옵션'!$A$16:$D$20,5,FALSE),0)+IFERROR(VLOOKUP(H17,'장비 등급별 옵션'!$A$23:$D$27,5,FALSE),0)+IFERROR(VLOOKUP(I17,'장비 등급별 옵션'!$A$30:$D$34,5,FALSE),0)+IFERROR(VLOOKUP(J17,'장비 등급별 옵션'!$J$2:$N$6,5,FALSE),0)+IFERROR(VLOOKUP(K17,'장비 등급별 옵션'!$J$9:$N$13,5,FALSE),0)+IFERROR(VLOOKUP(L17,'장비 등급별 옵션'!$J$16:$N$20,5,FALSE),0)+IFERROR(VLOOKUP(M17,'장비 등급별 옵션'!$J$23:$N$27,5,FALSE),0)+IFERROR(VLOOKUP(N17,'장비 등급별 옵션'!$J$30:$N$34,5,FALSE),0)+IFERROR(VLOOKUP(O17,'장비 등급별 옵션'!$J$37:$N$40,5,FALSE),0)</f>
        <v>15</v>
      </c>
      <c r="W17" s="14">
        <f>IFERROR(VLOOKUP(E17,'장비 등급별 옵션'!$A$2:$H$6,5,FALSE),0)+IFERROR(VLOOKUP(F17,'장비 등급별 옵션'!$A$9:$H$13,5,FALSE),0)+IFERROR(VLOOKUP(G17,'장비 등급별 옵션'!$A$16:$H$20,5,FALSE),0)+IFERROR(VLOOKUP(H17,'장비 등급별 옵션'!$A$23:$H$27,5,FALSE),0)+IFERROR(VLOOKUP(I17,'장비 등급별 옵션'!$A$30:$H$34,5,FALSE),0)+IFERROR(VLOOKUP(J17,'장비 등급별 옵션'!$J$2:$R$6,6,FALSE),0)+IFERROR(VLOOKUP(K17,'장비 등급별 옵션'!$J$9:$R$13,6,FALSE),0)+IFERROR(VLOOKUP(L17,'장비 등급별 옵션'!$J$16:$R$20,6,FALSE),0)+IFERROR(VLOOKUP(M17,'장비 등급별 옵션'!$J$23:$R$27,6,FALSE),0)+IFERROR(VLOOKUP(N17,'장비 등급별 옵션'!$J$30:$R$34,6,FALSE),0)+IFERROR(VLOOKUP(O17,'장비 등급별 옵션'!$J$37:$R$40,6,FALSE),0)</f>
        <v>1659</v>
      </c>
      <c r="X17" s="16">
        <f t="shared" si="2"/>
        <v>0.79126525407010395</v>
      </c>
      <c r="Y17" s="16">
        <f t="shared" si="3"/>
        <v>0.9432616145160384</v>
      </c>
      <c r="Z17" s="16">
        <f t="shared" si="4"/>
        <v>0.99950538602188455</v>
      </c>
      <c r="AA17" s="15">
        <f t="shared" si="5"/>
        <v>8138.0590584181682</v>
      </c>
      <c r="AB17" s="16">
        <f t="shared" si="6"/>
        <v>0.44453393863952551</v>
      </c>
      <c r="AC17" s="16">
        <f t="shared" si="7"/>
        <v>0.59588921859985133</v>
      </c>
      <c r="AD17" s="16">
        <f t="shared" si="8"/>
        <v>309.2</v>
      </c>
      <c r="AE17" s="14">
        <f t="shared" si="9"/>
        <v>6071</v>
      </c>
      <c r="AF17" s="14">
        <f t="shared" si="10"/>
        <v>0</v>
      </c>
    </row>
    <row r="18" spans="1:32" ht="16.5" customHeight="1">
      <c r="A18" s="10" t="s">
        <v>52</v>
      </c>
      <c r="B18" s="10">
        <v>2185</v>
      </c>
      <c r="C18" s="10">
        <v>7467</v>
      </c>
      <c r="D18" s="14">
        <f t="shared" si="0"/>
        <v>6396</v>
      </c>
      <c r="E18" s="10" t="s">
        <v>48</v>
      </c>
      <c r="F18" s="10" t="s">
        <v>48</v>
      </c>
      <c r="G18" s="10" t="s">
        <v>48</v>
      </c>
      <c r="H18" s="10" t="s">
        <v>48</v>
      </c>
      <c r="I18" s="10" t="s">
        <v>48</v>
      </c>
      <c r="J18" s="10" t="s">
        <v>48</v>
      </c>
      <c r="K18" s="10" t="s">
        <v>48</v>
      </c>
      <c r="L18" s="10" t="s">
        <v>48</v>
      </c>
      <c r="M18" s="10" t="s">
        <v>41</v>
      </c>
      <c r="N18" s="10" t="s">
        <v>41</v>
      </c>
      <c r="O18" s="10" t="s">
        <v>41</v>
      </c>
      <c r="P18" s="10">
        <v>8635</v>
      </c>
      <c r="Q18" s="16">
        <f t="shared" si="11"/>
        <v>18.925265615177199</v>
      </c>
      <c r="R18" s="16">
        <f t="shared" si="1"/>
        <v>386.63537629878942</v>
      </c>
      <c r="S18" s="15">
        <f>(1+IFERROR(VLOOKUP(E18,'장비 등급별 옵션'!$A$2:$D$6,3,FALSE),0)/100)*(1+IFERROR(VLOOKUP(F18,'장비 등급별 옵션'!$A$9:$D$13,3,FALSE),0)/100)*(1+IFERROR(VLOOKUP(G18,'장비 등급별 옵션'!$A$16:$D$20,3,FALSE),0)/100)*(1+IFERROR(VLOOKUP(H18,'장비 등급별 옵션'!$A$23:$D$27,3,FALSE),0)/100)*(1+IFERROR(VLOOKUP(I18,'장비 등급별 옵션'!$A$30:$D$34,3,FALSE),0)/100)*(1+IFERROR(VLOOKUP(J18,'장비 등급별 옵션'!$J$2:$N$6,3,FALSE),0)/100)*(1+IFERROR(VLOOKUP(K18,'장비 등급별 옵션'!$J$9:$N$13,3,FALSE),0)/100)*(1+IFERROR(VLOOKUP(L18,'장비 등급별 옵션'!$J$16:$N$20,3,FALSE),0)/100)*(1+IFERROR(VLOOKUP(M18,'장비 등급별 옵션'!$J$23:$N$27,3,FALSE),0)/100)*(1+IFERROR(VLOOKUP(N18,'장비 등급별 옵션'!$J$30:$N$34,3,FALSE),0)/100)*(1+IFERROR(VLOOKUP(O18,'장비 등급별 옵션'!$J$37:$N$40,3,FALSE),0)/100)</f>
        <v>107.71988171094988</v>
      </c>
      <c r="T18" s="15">
        <f>IFERROR(VLOOKUP(E18,'장비 등급별 옵션'!$A$2:$D$6,2,FALSE),0)+IFERROR(VLOOKUP(F18,'장비 등급별 옵션'!$A$9:$D$13,2,FALSE),0)+IFERROR(VLOOKUP(G18,'장비 등급별 옵션'!$A$16:$D$20,2,FALSE),0)+IFERROR(VLOOKUP(H18,'장비 등급별 옵션'!$A$23:$D$27,2,FALSE),0)+IFERROR(VLOOKUP(I18,'장비 등급별 옵션'!$A$30:$D$34,2,FALSE),0)+IFERROR(VLOOKUP(J18,'장비 등급별 옵션'!$J$2:$N$6,2,FALSE),0)+IFERROR(VLOOKUP(K18,'장비 등급별 옵션'!$J$9:$N$13,2,FALSE),0)+IFERROR(VLOOKUP(L18,'장비 등급별 옵션'!$J$16:$N$20,2,FALSE),0)+IFERROR(VLOOKUP(M18,'장비 등급별 옵션'!$J$23:$N$27,2,FALSE),0)+IFERROR(VLOOKUP(N18,'장비 등급별 옵션'!$J$30:$N$34,2,FALSE),0)+IFERROR(VLOOKUP(O18,'장비 등급별 옵션'!$J$37:$N$40,2,FALSE),0)</f>
        <v>35079</v>
      </c>
      <c r="U18" s="15">
        <f>IFERROR(VLOOKUP(E18,'장비 등급별 옵션'!$A$2:$D$6,4,FALSE),0)+IFERROR(VLOOKUP(F18,'장비 등급별 옵션'!$A$9:$D$13,4,FALSE),0)+IFERROR(VLOOKUP(G18,'장비 등급별 옵션'!$A$16:$D$20,4,FALSE),0)+IFERROR(VLOOKUP(H18,'장비 등급별 옵션'!$A$23:$D$27,4,FALSE),0)+IFERROR(VLOOKUP(I18,'장비 등급별 옵션'!$A$30:$D$34,4,FALSE),0)+IFERROR(VLOOKUP(J18,'장비 등급별 옵션'!$J$2:$N$6,4,FALSE),0)+IFERROR(VLOOKUP(K18,'장비 등급별 옵션'!$J$9:$N$13,4,FALSE),0)+IFERROR(VLOOKUP(L18,'장비 등급별 옵션'!$J$16:$N$20,4,FALSE),0)+IFERROR(VLOOKUP(M18,'장비 등급별 옵션'!$J$23:$N$27,4,FALSE),0)+IFERROR(VLOOKUP(N18,'장비 등급별 옵션'!$J$30:$N$34,4,FALSE),0)+IFERROR(VLOOKUP(O18,'장비 등급별 옵션'!$J$37:$N$40,4,FALSE),0)</f>
        <v>130</v>
      </c>
      <c r="V18" s="15">
        <f>IFERROR(VLOOKUP(E18,'장비 등급별 옵션'!$A$2:$D$6,5,FALSE),0)+IFERROR(VLOOKUP(F18,'장비 등급별 옵션'!$A$9:$D$13,5,FALSE),0)+IFERROR(VLOOKUP(G18,'장비 등급별 옵션'!$A$16:$D$20,5,FALSE),0)+IFERROR(VLOOKUP(H18,'장비 등급별 옵션'!$A$23:$D$27,5,FALSE),0)+IFERROR(VLOOKUP(I18,'장비 등급별 옵션'!$A$30:$D$34,5,FALSE),0)+IFERROR(VLOOKUP(J18,'장비 등급별 옵션'!$J$2:$N$6,5,FALSE),0)+IFERROR(VLOOKUP(K18,'장비 등급별 옵션'!$J$9:$N$13,5,FALSE),0)+IFERROR(VLOOKUP(L18,'장비 등급별 옵션'!$J$16:$N$20,5,FALSE),0)+IFERROR(VLOOKUP(M18,'장비 등급별 옵션'!$J$23:$N$27,5,FALSE),0)+IFERROR(VLOOKUP(N18,'장비 등급별 옵션'!$J$30:$N$34,5,FALSE),0)+IFERROR(VLOOKUP(O18,'장비 등급별 옵션'!$J$37:$N$40,5,FALSE),0)</f>
        <v>15</v>
      </c>
      <c r="W18" s="14">
        <f>IFERROR(VLOOKUP(E18,'장비 등급별 옵션'!$A$2:$H$6,5,FALSE),0)+IFERROR(VLOOKUP(F18,'장비 등급별 옵션'!$A$9:$H$13,5,FALSE),0)+IFERROR(VLOOKUP(G18,'장비 등급별 옵션'!$A$16:$H$20,5,FALSE),0)+IFERROR(VLOOKUP(H18,'장비 등급별 옵션'!$A$23:$H$27,5,FALSE),0)+IFERROR(VLOOKUP(I18,'장비 등급별 옵션'!$A$30:$H$34,5,FALSE),0)+IFERROR(VLOOKUP(J18,'장비 등급별 옵션'!$J$2:$R$6,6,FALSE),0)+IFERROR(VLOOKUP(K18,'장비 등급별 옵션'!$J$9:$R$13,6,FALSE),0)+IFERROR(VLOOKUP(L18,'장비 등급별 옵션'!$J$16:$R$20,6,FALSE),0)+IFERROR(VLOOKUP(M18,'장비 등급별 옵션'!$J$23:$R$27,6,FALSE),0)+IFERROR(VLOOKUP(N18,'장비 등급별 옵션'!$J$30:$R$34,6,FALSE),0)+IFERROR(VLOOKUP(O18,'장비 등급별 옵션'!$J$37:$R$40,6,FALSE),0)</f>
        <v>1662</v>
      </c>
      <c r="X18" s="16">
        <f t="shared" si="2"/>
        <v>0.80669381954378538</v>
      </c>
      <c r="Y18" s="16">
        <f t="shared" si="3"/>
        <v>0.95685635638447286</v>
      </c>
      <c r="Z18" s="16">
        <f t="shared" si="4"/>
        <v>0.99952971129949686</v>
      </c>
      <c r="AA18" s="15">
        <f t="shared" si="5"/>
        <v>9678.2083511437941</v>
      </c>
      <c r="AB18" s="16">
        <f t="shared" si="6"/>
        <v>0.54675258109394453</v>
      </c>
      <c r="AC18" s="16">
        <f t="shared" si="7"/>
        <v>0.70866283599207691</v>
      </c>
      <c r="AD18" s="16">
        <f t="shared" si="8"/>
        <v>386.6</v>
      </c>
      <c r="AE18" s="14">
        <f t="shared" si="9"/>
        <v>7467</v>
      </c>
      <c r="AF18" s="14">
        <f t="shared" si="10"/>
        <v>0</v>
      </c>
    </row>
    <row r="19" spans="1:32" ht="16.5" customHeight="1">
      <c r="A19" s="10" t="s">
        <v>53</v>
      </c>
      <c r="B19" s="10">
        <v>2270</v>
      </c>
      <c r="C19" s="10">
        <v>8224</v>
      </c>
      <c r="D19" s="14">
        <f t="shared" si="0"/>
        <v>6399</v>
      </c>
      <c r="E19" s="10" t="s">
        <v>48</v>
      </c>
      <c r="F19" s="10" t="s">
        <v>48</v>
      </c>
      <c r="G19" s="10" t="s">
        <v>48</v>
      </c>
      <c r="H19" s="10" t="s">
        <v>48</v>
      </c>
      <c r="I19" s="10" t="s">
        <v>48</v>
      </c>
      <c r="J19" s="10" t="s">
        <v>48</v>
      </c>
      <c r="K19" s="10" t="s">
        <v>48</v>
      </c>
      <c r="L19" s="10" t="s">
        <v>48</v>
      </c>
      <c r="M19" s="10" t="s">
        <v>48</v>
      </c>
      <c r="N19" s="10" t="s">
        <v>48</v>
      </c>
      <c r="O19" s="10" t="s">
        <v>41</v>
      </c>
      <c r="P19" s="10">
        <v>9603</v>
      </c>
      <c r="Q19" s="16">
        <f t="shared" si="11"/>
        <v>6.5156084682436388</v>
      </c>
      <c r="R19" s="16">
        <f t="shared" si="1"/>
        <v>418.34263208638271</v>
      </c>
      <c r="S19" s="15">
        <f>(1+IFERROR(VLOOKUP(E19,'장비 등급별 옵션'!$A$2:$D$6,3,FALSE),0)/100)*(1+IFERROR(VLOOKUP(F19,'장비 등급별 옵션'!$A$9:$D$13,3,FALSE),0)/100)*(1+IFERROR(VLOOKUP(G19,'장비 등급별 옵션'!$A$16:$D$20,3,FALSE),0)/100)*(1+IFERROR(VLOOKUP(H19,'장비 등급별 옵션'!$A$23:$D$27,3,FALSE),0)/100)*(1+IFERROR(VLOOKUP(I19,'장비 등급별 옵션'!$A$30:$D$34,3,FALSE),0)/100)*(1+IFERROR(VLOOKUP(J19,'장비 등급별 옵션'!$J$2:$N$6,3,FALSE),0)/100)*(1+IFERROR(VLOOKUP(K19,'장비 등급별 옵션'!$J$9:$N$13,3,FALSE),0)/100)*(1+IFERROR(VLOOKUP(L19,'장비 등급별 옵션'!$J$16:$N$20,3,FALSE),0)/100)*(1+IFERROR(VLOOKUP(M19,'장비 등급별 옵션'!$J$23:$N$27,3,FALSE),0)/100)*(1+IFERROR(VLOOKUP(N19,'장비 등급별 옵션'!$J$30:$N$34,3,FALSE),0)/100)*(1+IFERROR(VLOOKUP(O19,'장비 등급별 옵션'!$J$37:$N$40,3,FALSE),0)/100)</f>
        <v>109.82016370037103</v>
      </c>
      <c r="T19" s="15">
        <f>IFERROR(VLOOKUP(E19,'장비 등급별 옵션'!$A$2:$D$6,2,FALSE),0)+IFERROR(VLOOKUP(F19,'장비 등급별 옵션'!$A$9:$D$13,2,FALSE),0)+IFERROR(VLOOKUP(G19,'장비 등급별 옵션'!$A$16:$D$20,2,FALSE),0)+IFERROR(VLOOKUP(H19,'장비 등급별 옵션'!$A$23:$D$27,2,FALSE),0)+IFERROR(VLOOKUP(I19,'장비 등급별 옵션'!$A$30:$D$34,2,FALSE),0)+IFERROR(VLOOKUP(J19,'장비 등급별 옵션'!$J$2:$N$6,2,FALSE),0)+IFERROR(VLOOKUP(K19,'장비 등급별 옵션'!$J$9:$N$13,2,FALSE),0)+IFERROR(VLOOKUP(L19,'장비 등급별 옵션'!$J$16:$N$20,2,FALSE),0)+IFERROR(VLOOKUP(M19,'장비 등급별 옵션'!$J$23:$N$27,2,FALSE),0)+IFERROR(VLOOKUP(N19,'장비 등급별 옵션'!$J$30:$N$34,2,FALSE),0)+IFERROR(VLOOKUP(O19,'장비 등급별 옵션'!$J$37:$N$40,2,FALSE),0)</f>
        <v>35079</v>
      </c>
      <c r="U19" s="15">
        <f>IFERROR(VLOOKUP(E19,'장비 등급별 옵션'!$A$2:$D$6,4,FALSE),0)+IFERROR(VLOOKUP(F19,'장비 등급별 옵션'!$A$9:$D$13,4,FALSE),0)+IFERROR(VLOOKUP(G19,'장비 등급별 옵션'!$A$16:$D$20,4,FALSE),0)+IFERROR(VLOOKUP(H19,'장비 등급별 옵션'!$A$23:$D$27,4,FALSE),0)+IFERROR(VLOOKUP(I19,'장비 등급별 옵션'!$A$30:$D$34,4,FALSE),0)+IFERROR(VLOOKUP(J19,'장비 등급별 옵션'!$J$2:$N$6,4,FALSE),0)+IFERROR(VLOOKUP(K19,'장비 등급별 옵션'!$J$9:$N$13,4,FALSE),0)+IFERROR(VLOOKUP(L19,'장비 등급별 옵션'!$J$16:$N$20,4,FALSE),0)+IFERROR(VLOOKUP(M19,'장비 등급별 옵션'!$J$23:$N$27,4,FALSE),0)+IFERROR(VLOOKUP(N19,'장비 등급별 옵션'!$J$30:$N$34,4,FALSE),0)+IFERROR(VLOOKUP(O19,'장비 등급별 옵션'!$J$37:$N$40,4,FALSE),0)</f>
        <v>130</v>
      </c>
      <c r="V19" s="15">
        <f>IFERROR(VLOOKUP(E19,'장비 등급별 옵션'!$A$2:$D$6,5,FALSE),0)+IFERROR(VLOOKUP(F19,'장비 등급별 옵션'!$A$9:$D$13,5,FALSE),0)+IFERROR(VLOOKUP(G19,'장비 등급별 옵션'!$A$16:$D$20,5,FALSE),0)+IFERROR(VLOOKUP(H19,'장비 등급별 옵션'!$A$23:$D$27,5,FALSE),0)+IFERROR(VLOOKUP(I19,'장비 등급별 옵션'!$A$30:$D$34,5,FALSE),0)+IFERROR(VLOOKUP(J19,'장비 등급별 옵션'!$J$2:$N$6,5,FALSE),0)+IFERROR(VLOOKUP(K19,'장비 등급별 옵션'!$J$9:$N$13,5,FALSE),0)+IFERROR(VLOOKUP(L19,'장비 등급별 옵션'!$J$16:$N$20,5,FALSE),0)+IFERROR(VLOOKUP(M19,'장비 등급별 옵션'!$J$23:$N$27,5,FALSE),0)+IFERROR(VLOOKUP(N19,'장비 등급별 옵션'!$J$30:$N$34,5,FALSE),0)+IFERROR(VLOOKUP(O19,'장비 등급별 옵션'!$J$37:$N$40,5,FALSE),0)</f>
        <v>15</v>
      </c>
      <c r="W19" s="14">
        <f>IFERROR(VLOOKUP(E19,'장비 등급별 옵션'!$A$2:$H$6,5,FALSE),0)+IFERROR(VLOOKUP(F19,'장비 등급별 옵션'!$A$9:$H$13,5,FALSE),0)+IFERROR(VLOOKUP(G19,'장비 등급별 옵션'!$A$16:$H$20,5,FALSE),0)+IFERROR(VLOOKUP(H19,'장비 등급별 옵션'!$A$23:$H$27,5,FALSE),0)+IFERROR(VLOOKUP(I19,'장비 등급별 옵션'!$A$30:$H$34,5,FALSE),0)+IFERROR(VLOOKUP(J19,'장비 등급별 옵션'!$J$2:$R$6,6,FALSE),0)+IFERROR(VLOOKUP(K19,'장비 등급별 옵션'!$J$9:$R$13,6,FALSE),0)+IFERROR(VLOOKUP(L19,'장비 등급별 옵션'!$J$16:$R$20,6,FALSE),0)+IFERROR(VLOOKUP(M19,'장비 등급별 옵션'!$J$23:$R$27,6,FALSE),0)+IFERROR(VLOOKUP(N19,'장비 등급별 옵션'!$J$30:$R$34,6,FALSE),0)+IFERROR(VLOOKUP(O19,'장비 등급별 옵션'!$J$37:$R$40,6,FALSE),0)</f>
        <v>1665</v>
      </c>
      <c r="X19" s="16">
        <f t="shared" si="2"/>
        <v>0.82242243410642957</v>
      </c>
      <c r="Y19" s="16">
        <f t="shared" si="3"/>
        <v>0.97045109825290721</v>
      </c>
      <c r="Z19" s="16">
        <f t="shared" si="4"/>
        <v>0.99955403657710906</v>
      </c>
      <c r="AA19" s="15">
        <f t="shared" si="5"/>
        <v>10308.802514045185</v>
      </c>
      <c r="AB19" s="16">
        <f t="shared" si="6"/>
        <v>0.6021820311927949</v>
      </c>
      <c r="AC19" s="16">
        <f t="shared" si="7"/>
        <v>0.75483653174527243</v>
      </c>
      <c r="AD19" s="16">
        <f t="shared" si="8"/>
        <v>418.3</v>
      </c>
      <c r="AE19" s="14">
        <f t="shared" si="9"/>
        <v>8224</v>
      </c>
      <c r="AF19" s="14">
        <f t="shared" si="10"/>
        <v>0</v>
      </c>
    </row>
    <row r="20" spans="1:32" ht="16.5" customHeight="1">
      <c r="A20" s="10" t="s">
        <v>54</v>
      </c>
      <c r="B20" s="10">
        <v>2355</v>
      </c>
      <c r="C20" s="10">
        <v>8808</v>
      </c>
      <c r="D20" s="14">
        <f t="shared" si="0"/>
        <v>6451</v>
      </c>
      <c r="E20" s="10" t="s">
        <v>48</v>
      </c>
      <c r="F20" s="10" t="s">
        <v>48</v>
      </c>
      <c r="G20" s="10" t="s">
        <v>48</v>
      </c>
      <c r="H20" s="10" t="s">
        <v>48</v>
      </c>
      <c r="I20" s="10" t="s">
        <v>48</v>
      </c>
      <c r="J20" s="10" t="s">
        <v>48</v>
      </c>
      <c r="K20" s="10" t="s">
        <v>48</v>
      </c>
      <c r="L20" s="10" t="s">
        <v>48</v>
      </c>
      <c r="M20" s="10" t="s">
        <v>48</v>
      </c>
      <c r="N20" s="10" t="s">
        <v>48</v>
      </c>
      <c r="O20" s="10" t="s">
        <v>48</v>
      </c>
      <c r="P20" s="10">
        <v>10087</v>
      </c>
      <c r="Q20" s="16">
        <f t="shared" si="11"/>
        <v>5.2889435745421709</v>
      </c>
      <c r="R20" s="16">
        <f t="shared" si="1"/>
        <v>445.75748142022815</v>
      </c>
      <c r="S20" s="15">
        <f>(1+IFERROR(VLOOKUP(E20,'장비 등급별 옵션'!$A$2:$D$6,3,FALSE),0)/100)*(1+IFERROR(VLOOKUP(F20,'장비 등급별 옵션'!$A$9:$D$13,3,FALSE),0)/100)*(1+IFERROR(VLOOKUP(G20,'장비 등급별 옵션'!$A$16:$D$20,3,FALSE),0)/100)*(1+IFERROR(VLOOKUP(H20,'장비 등급별 옵션'!$A$23:$D$27,3,FALSE),0)/100)*(1+IFERROR(VLOOKUP(I20,'장비 등급별 옵션'!$A$30:$D$34,3,FALSE),0)/100)*(1+IFERROR(VLOOKUP(J20,'장비 등급별 옵션'!$J$2:$N$6,3,FALSE),0)/100)*(1+IFERROR(VLOOKUP(K20,'장비 등급별 옵션'!$J$9:$N$13,3,FALSE),0)/100)*(1+IFERROR(VLOOKUP(L20,'장비 등급별 옵션'!$J$16:$N$20,3,FALSE),0)/100)*(1+IFERROR(VLOOKUP(M20,'장비 등급별 옵션'!$J$23:$N$27,3,FALSE),0)/100)*(1+IFERROR(VLOOKUP(N20,'장비 등급별 옵션'!$J$30:$N$34,3,FALSE),0)/100)*(1+IFERROR(VLOOKUP(O20,'장비 등급별 옵션'!$J$37:$N$40,3,FALSE),0)/100)</f>
        <v>110.88568922139662</v>
      </c>
      <c r="T20" s="15">
        <f>IFERROR(VLOOKUP(E20,'장비 등급별 옵션'!$A$2:$D$6,2,FALSE),0)+IFERROR(VLOOKUP(F20,'장비 등급별 옵션'!$A$9:$D$13,2,FALSE),0)+IFERROR(VLOOKUP(G20,'장비 등급별 옵션'!$A$16:$D$20,2,FALSE),0)+IFERROR(VLOOKUP(H20,'장비 등급별 옵션'!$A$23:$D$27,2,FALSE),0)+IFERROR(VLOOKUP(I20,'장비 등급별 옵션'!$A$30:$D$34,2,FALSE),0)+IFERROR(VLOOKUP(J20,'장비 등급별 옵션'!$J$2:$N$6,2,FALSE),0)+IFERROR(VLOOKUP(K20,'장비 등급별 옵션'!$J$9:$N$13,2,FALSE),0)+IFERROR(VLOOKUP(L20,'장비 등급별 옵션'!$J$16:$N$20,2,FALSE),0)+IFERROR(VLOOKUP(M20,'장비 등급별 옵션'!$J$23:$N$27,2,FALSE),0)+IFERROR(VLOOKUP(N20,'장비 등급별 옵션'!$J$30:$N$34,2,FALSE),0)+IFERROR(VLOOKUP(O20,'장비 등급별 옵션'!$J$37:$N$40,2,FALSE),0)</f>
        <v>35079</v>
      </c>
      <c r="U20" s="15">
        <f>IFERROR(VLOOKUP(E20,'장비 등급별 옵션'!$A$2:$D$6,4,FALSE),0)+IFERROR(VLOOKUP(F20,'장비 등급별 옵션'!$A$9:$D$13,4,FALSE),0)+IFERROR(VLOOKUP(G20,'장비 등급별 옵션'!$A$16:$D$20,4,FALSE),0)+IFERROR(VLOOKUP(H20,'장비 등급별 옵션'!$A$23:$D$27,4,FALSE),0)+IFERROR(VLOOKUP(I20,'장비 등급별 옵션'!$A$30:$D$34,4,FALSE),0)+IFERROR(VLOOKUP(J20,'장비 등급별 옵션'!$J$2:$N$6,4,FALSE),0)+IFERROR(VLOOKUP(K20,'장비 등급별 옵션'!$J$9:$N$13,4,FALSE),0)+IFERROR(VLOOKUP(L20,'장비 등급별 옵션'!$J$16:$N$20,4,FALSE),0)+IFERROR(VLOOKUP(M20,'장비 등급별 옵션'!$J$23:$N$27,4,FALSE),0)+IFERROR(VLOOKUP(N20,'장비 등급별 옵션'!$J$30:$N$34,4,FALSE),0)+IFERROR(VLOOKUP(O20,'장비 등급별 옵션'!$J$37:$N$40,4,FALSE),0)</f>
        <v>130</v>
      </c>
      <c r="V20" s="15">
        <f>IFERROR(VLOOKUP(E20,'장비 등급별 옵션'!$A$2:$D$6,5,FALSE),0)+IFERROR(VLOOKUP(F20,'장비 등급별 옵션'!$A$9:$D$13,5,FALSE),0)+IFERROR(VLOOKUP(G20,'장비 등급별 옵션'!$A$16:$D$20,5,FALSE),0)+IFERROR(VLOOKUP(H20,'장비 등급별 옵션'!$A$23:$D$27,5,FALSE),0)+IFERROR(VLOOKUP(I20,'장비 등급별 옵션'!$A$30:$D$34,5,FALSE),0)+IFERROR(VLOOKUP(J20,'장비 등급별 옵션'!$J$2:$N$6,5,FALSE),0)+IFERROR(VLOOKUP(K20,'장비 등급별 옵션'!$J$9:$N$13,5,FALSE),0)+IFERROR(VLOOKUP(L20,'장비 등급별 옵션'!$J$16:$N$20,5,FALSE),0)+IFERROR(VLOOKUP(M20,'장비 등급별 옵션'!$J$23:$N$27,5,FALSE),0)+IFERROR(VLOOKUP(N20,'장비 등급별 옵션'!$J$30:$N$34,5,FALSE),0)+IFERROR(VLOOKUP(O20,'장비 등급별 옵션'!$J$37:$N$40,5,FALSE),0)</f>
        <v>15</v>
      </c>
      <c r="W20" s="14">
        <f>IFERROR(VLOOKUP(E20,'장비 등급별 옵션'!$A$2:$H$6,5,FALSE),0)+IFERROR(VLOOKUP(F20,'장비 등급별 옵션'!$A$9:$H$13,5,FALSE),0)+IFERROR(VLOOKUP(G20,'장비 등급별 옵션'!$A$16:$H$20,5,FALSE),0)+IFERROR(VLOOKUP(H20,'장비 등급별 옵션'!$A$23:$H$27,5,FALSE),0)+IFERROR(VLOOKUP(I20,'장비 등급별 옵션'!$A$30:$H$34,5,FALSE),0)+IFERROR(VLOOKUP(J20,'장비 등급별 옵션'!$J$2:$R$6,6,FALSE),0)+IFERROR(VLOOKUP(K20,'장비 등급별 옵션'!$J$9:$R$13,6,FALSE),0)+IFERROR(VLOOKUP(L20,'장비 등급별 옵션'!$J$16:$R$20,6,FALSE),0)+IFERROR(VLOOKUP(M20,'장비 등급별 옵션'!$J$23:$R$27,6,FALSE),0)+IFERROR(VLOOKUP(N20,'장비 등급별 옵션'!$J$30:$R$34,6,FALSE),0)+IFERROR(VLOOKUP(O20,'장비 등급별 옵션'!$J$37:$R$40,6,FALSE),0)</f>
        <v>1717</v>
      </c>
      <c r="X20" s="16">
        <f t="shared" si="2"/>
        <v>0.83040195319543109</v>
      </c>
      <c r="Y20" s="16">
        <f t="shared" si="3"/>
        <v>0.97724846918712438</v>
      </c>
      <c r="Z20" s="16">
        <f t="shared" si="4"/>
        <v>0.99998378314825842</v>
      </c>
      <c r="AA20" s="15">
        <f t="shared" si="5"/>
        <v>10854.029262224019</v>
      </c>
      <c r="AB20" s="16">
        <f t="shared" si="6"/>
        <v>0.64494398476971515</v>
      </c>
      <c r="AC20" s="16">
        <f t="shared" si="7"/>
        <v>0.79475940998931083</v>
      </c>
      <c r="AD20" s="16">
        <f t="shared" si="8"/>
        <v>445.8</v>
      </c>
      <c r="AE20" s="14">
        <f t="shared" si="9"/>
        <v>8808</v>
      </c>
      <c r="AF20" s="14">
        <f t="shared" si="10"/>
        <v>0</v>
      </c>
    </row>
    <row r="21" spans="1:32" ht="16.5" customHeight="1">
      <c r="A21" s="10" t="s">
        <v>55</v>
      </c>
      <c r="B21" s="10">
        <v>2440</v>
      </c>
      <c r="C21" s="10">
        <v>10396</v>
      </c>
      <c r="D21" s="14">
        <f t="shared" si="0"/>
        <v>6452</v>
      </c>
      <c r="E21" s="10" t="s">
        <v>48</v>
      </c>
      <c r="F21" s="10" t="s">
        <v>48</v>
      </c>
      <c r="G21" s="10" t="s">
        <v>48</v>
      </c>
      <c r="H21" s="10" t="s">
        <v>48</v>
      </c>
      <c r="I21" s="10" t="s">
        <v>48</v>
      </c>
      <c r="J21" s="10" t="s">
        <v>56</v>
      </c>
      <c r="K21" s="10" t="s">
        <v>48</v>
      </c>
      <c r="L21" s="10" t="s">
        <v>56</v>
      </c>
      <c r="M21" s="10" t="s">
        <v>48</v>
      </c>
      <c r="N21" s="10" t="s">
        <v>48</v>
      </c>
      <c r="O21" s="10" t="s">
        <v>48</v>
      </c>
      <c r="P21" s="10">
        <v>11167</v>
      </c>
      <c r="Q21" s="16">
        <f t="shared" si="11"/>
        <v>9.9537778359643845</v>
      </c>
      <c r="R21" s="16">
        <f t="shared" si="1"/>
        <v>500.0809686439523</v>
      </c>
      <c r="S21" s="15">
        <f>(1+IFERROR(VLOOKUP(E21,'장비 등급별 옵션'!$A$2:$D$6,3,FALSE),0)/100)*(1+IFERROR(VLOOKUP(F21,'장비 등급별 옵션'!$A$9:$D$13,3,FALSE),0)/100)*(1+IFERROR(VLOOKUP(G21,'장비 등급별 옵션'!$A$16:$D$20,3,FALSE),0)/100)*(1+IFERROR(VLOOKUP(H21,'장비 등급별 옵션'!$A$23:$D$27,3,FALSE),0)/100)*(1+IFERROR(VLOOKUP(I21,'장비 등급별 옵션'!$A$30:$D$34,3,FALSE),0)/100)*(1+IFERROR(VLOOKUP(J21,'장비 등급별 옵션'!$J$2:$N$6,3,FALSE),0)/100)*(1+IFERROR(VLOOKUP(K21,'장비 등급별 옵션'!$J$9:$N$13,3,FALSE),0)/100)*(1+IFERROR(VLOOKUP(L21,'장비 등급별 옵션'!$J$16:$N$20,3,FALSE),0)/100)*(1+IFERROR(VLOOKUP(M21,'장비 등급별 옵션'!$J$23:$N$27,3,FALSE),0)/100)*(1+IFERROR(VLOOKUP(N21,'장비 등급별 옵션'!$J$30:$N$34,3,FALSE),0)/100)*(1+IFERROR(VLOOKUP(O21,'장비 등급별 옵션'!$J$37:$N$40,3,FALSE),0)/100)</f>
        <v>117.20926994221938</v>
      </c>
      <c r="T21" s="15">
        <f>IFERROR(VLOOKUP(E21,'장비 등급별 옵션'!$A$2:$D$6,2,FALSE),0)+IFERROR(VLOOKUP(F21,'장비 등급별 옵션'!$A$9:$D$13,2,FALSE),0)+IFERROR(VLOOKUP(G21,'장비 등급별 옵션'!$A$16:$D$20,2,FALSE),0)+IFERROR(VLOOKUP(H21,'장비 등급별 옵션'!$A$23:$D$27,2,FALSE),0)+IFERROR(VLOOKUP(I21,'장비 등급별 옵션'!$A$30:$D$34,2,FALSE),0)+IFERROR(VLOOKUP(J21,'장비 등급별 옵션'!$J$2:$N$6,2,FALSE),0)+IFERROR(VLOOKUP(K21,'장비 등급별 옵션'!$J$9:$N$13,2,FALSE),0)+IFERROR(VLOOKUP(L21,'장비 등급별 옵션'!$J$16:$N$20,2,FALSE),0)+IFERROR(VLOOKUP(M21,'장비 등급별 옵션'!$J$23:$N$27,2,FALSE),0)+IFERROR(VLOOKUP(N21,'장비 등급별 옵션'!$J$30:$N$34,2,FALSE),0)+IFERROR(VLOOKUP(O21,'장비 등급별 옵션'!$J$37:$N$40,2,FALSE),0)</f>
        <v>35079</v>
      </c>
      <c r="U21" s="15">
        <f>IFERROR(VLOOKUP(E21,'장비 등급별 옵션'!$A$2:$D$6,4,FALSE),0)+IFERROR(VLOOKUP(F21,'장비 등급별 옵션'!$A$9:$D$13,4,FALSE),0)+IFERROR(VLOOKUP(G21,'장비 등급별 옵션'!$A$16:$D$20,4,FALSE),0)+IFERROR(VLOOKUP(H21,'장비 등급별 옵션'!$A$23:$D$27,4,FALSE),0)+IFERROR(VLOOKUP(I21,'장비 등급별 옵션'!$A$30:$D$34,4,FALSE),0)+IFERROR(VLOOKUP(J21,'장비 등급별 옵션'!$J$2:$N$6,4,FALSE),0)+IFERROR(VLOOKUP(K21,'장비 등급별 옵션'!$J$9:$N$13,4,FALSE),0)+IFERROR(VLOOKUP(L21,'장비 등급별 옵션'!$J$16:$N$20,4,FALSE),0)+IFERROR(VLOOKUP(M21,'장비 등급별 옵션'!$J$23:$N$27,4,FALSE),0)+IFERROR(VLOOKUP(N21,'장비 등급별 옵션'!$J$30:$N$34,4,FALSE),0)+IFERROR(VLOOKUP(O21,'장비 등급별 옵션'!$J$37:$N$40,4,FALSE),0)</f>
        <v>130</v>
      </c>
      <c r="V21" s="15">
        <f>IFERROR(VLOOKUP(E21,'장비 등급별 옵션'!$A$2:$D$6,5,FALSE),0)+IFERROR(VLOOKUP(F21,'장비 등급별 옵션'!$A$9:$D$13,5,FALSE),0)+IFERROR(VLOOKUP(G21,'장비 등급별 옵션'!$A$16:$D$20,5,FALSE),0)+IFERROR(VLOOKUP(H21,'장비 등급별 옵션'!$A$23:$D$27,5,FALSE),0)+IFERROR(VLOOKUP(I21,'장비 등급별 옵션'!$A$30:$D$34,5,FALSE),0)+IFERROR(VLOOKUP(J21,'장비 등급별 옵션'!$J$2:$N$6,5,FALSE),0)+IFERROR(VLOOKUP(K21,'장비 등급별 옵션'!$J$9:$N$13,5,FALSE),0)+IFERROR(VLOOKUP(L21,'장비 등급별 옵션'!$J$16:$N$20,5,FALSE),0)+IFERROR(VLOOKUP(M21,'장비 등급별 옵션'!$J$23:$N$27,5,FALSE),0)+IFERROR(VLOOKUP(N21,'장비 등급별 옵션'!$J$30:$N$34,5,FALSE),0)+IFERROR(VLOOKUP(O21,'장비 등급별 옵션'!$J$37:$N$40,5,FALSE),0)</f>
        <v>15</v>
      </c>
      <c r="W21" s="14">
        <f>IFERROR(VLOOKUP(E21,'장비 등급별 옵션'!$A$2:$H$6,5,FALSE),0)+IFERROR(VLOOKUP(F21,'장비 등급별 옵션'!$A$9:$H$13,5,FALSE),0)+IFERROR(VLOOKUP(G21,'장비 등급별 옵션'!$A$16:$H$20,5,FALSE),0)+IFERROR(VLOOKUP(H21,'장비 등급별 옵션'!$A$23:$H$27,5,FALSE),0)+IFERROR(VLOOKUP(I21,'장비 등급별 옵션'!$A$30:$H$34,5,FALSE),0)+IFERROR(VLOOKUP(J21,'장비 등급별 옵션'!$J$2:$R$6,6,FALSE),0)+IFERROR(VLOOKUP(K21,'장비 등급별 옵션'!$J$9:$R$13,6,FALSE),0)+IFERROR(VLOOKUP(L21,'장비 등급별 옵션'!$J$16:$R$20,6,FALSE),0)+IFERROR(VLOOKUP(M21,'장비 등급별 옵션'!$J$23:$R$27,6,FALSE),0)+IFERROR(VLOOKUP(N21,'장비 등급별 옵션'!$J$30:$R$34,6,FALSE),0)+IFERROR(VLOOKUP(O21,'장비 등급별 옵션'!$J$37:$R$40,6,FALSE),0)</f>
        <v>1718</v>
      </c>
      <c r="X21" s="16">
        <f t="shared" si="2"/>
        <v>0.87775805314513444</v>
      </c>
      <c r="Y21" s="16">
        <f t="shared" si="3"/>
        <v>0.99241615639570813</v>
      </c>
      <c r="Z21" s="16">
        <f t="shared" si="4"/>
        <v>0.99999189157412927</v>
      </c>
      <c r="AA21" s="15">
        <f t="shared" si="5"/>
        <v>11934.415221236362</v>
      </c>
      <c r="AB21" s="16">
        <f t="shared" si="6"/>
        <v>0.76122135168777916</v>
      </c>
      <c r="AC21" s="16">
        <f t="shared" si="7"/>
        <v>0.87386799599006837</v>
      </c>
      <c r="AD21" s="16">
        <f t="shared" si="8"/>
        <v>500.1</v>
      </c>
      <c r="AE21" s="14">
        <f t="shared" si="9"/>
        <v>10396</v>
      </c>
      <c r="AF21" s="14">
        <f t="shared" si="10"/>
        <v>0</v>
      </c>
    </row>
    <row r="22" spans="1:32" ht="16.5" customHeight="1">
      <c r="A22" s="10" t="s">
        <v>56</v>
      </c>
      <c r="B22" s="10">
        <v>2550</v>
      </c>
      <c r="C22" s="10">
        <v>12631</v>
      </c>
      <c r="D22" s="14">
        <f t="shared" si="0"/>
        <v>6453</v>
      </c>
      <c r="E22" s="10" t="s">
        <v>57</v>
      </c>
      <c r="F22" s="10" t="s">
        <v>57</v>
      </c>
      <c r="G22" s="10" t="s">
        <v>48</v>
      </c>
      <c r="H22" s="10" t="s">
        <v>48</v>
      </c>
      <c r="I22" s="10" t="s">
        <v>48</v>
      </c>
      <c r="J22" s="10" t="s">
        <v>56</v>
      </c>
      <c r="K22" s="10" t="s">
        <v>56</v>
      </c>
      <c r="L22" s="10" t="s">
        <v>56</v>
      </c>
      <c r="M22" s="10" t="s">
        <v>48</v>
      </c>
      <c r="N22" s="10" t="s">
        <v>48</v>
      </c>
      <c r="O22" s="10" t="s">
        <v>48</v>
      </c>
      <c r="P22" s="10">
        <v>11707</v>
      </c>
      <c r="Q22" s="16">
        <f t="shared" si="11"/>
        <v>12.048017019565926</v>
      </c>
      <c r="R22" s="16">
        <f t="shared" si="1"/>
        <v>572.37882587735169</v>
      </c>
      <c r="S22" s="15">
        <f>(1+IFERROR(VLOOKUP(E22,'장비 등급별 옵션'!$A$2:$D$6,3,FALSE),0)/100)*(1+IFERROR(VLOOKUP(F22,'장비 등급별 옵션'!$A$9:$D$13,3,FALSE),0)/100)*(1+IFERROR(VLOOKUP(G22,'장비 등급별 옵션'!$A$16:$D$20,3,FALSE),0)/100)*(1+IFERROR(VLOOKUP(H22,'장비 등급별 옵션'!$A$23:$D$27,3,FALSE),0)/100)*(1+IFERROR(VLOOKUP(I22,'장비 등급별 옵션'!$A$30:$D$34,3,FALSE),0)/100)*(1+IFERROR(VLOOKUP(J22,'장비 등급별 옵션'!$J$2:$N$6,3,FALSE),0)/100)*(1+IFERROR(VLOOKUP(K22,'장비 등급별 옵션'!$J$9:$N$13,3,FALSE),0)/100)*(1+IFERROR(VLOOKUP(L22,'장비 등급별 옵션'!$J$16:$N$20,3,FALSE),0)/100)*(1+IFERROR(VLOOKUP(M22,'장비 등급별 옵션'!$J$23:$N$27,3,FALSE),0)/100)*(1+IFERROR(VLOOKUP(N22,'장비 등급별 옵션'!$J$30:$N$34,3,FALSE),0)/100)*(1+IFERROR(VLOOKUP(O22,'장비 등급별 옵션'!$J$37:$N$40,3,FALSE),0)/100)</f>
        <v>126.13033658430938</v>
      </c>
      <c r="T22" s="15">
        <f>IFERROR(VLOOKUP(E22,'장비 등급별 옵션'!$A$2:$D$6,2,FALSE),0)+IFERROR(VLOOKUP(F22,'장비 등급별 옵션'!$A$9:$D$13,2,FALSE),0)+IFERROR(VLOOKUP(G22,'장비 등급별 옵션'!$A$16:$D$20,2,FALSE),0)+IFERROR(VLOOKUP(H22,'장비 등급별 옵션'!$A$23:$D$27,2,FALSE),0)+IFERROR(VLOOKUP(I22,'장비 등급별 옵션'!$A$30:$D$34,2,FALSE),0)+IFERROR(VLOOKUP(J22,'장비 등급별 옵션'!$J$2:$N$6,2,FALSE),0)+IFERROR(VLOOKUP(K22,'장비 등급별 옵션'!$J$9:$N$13,2,FALSE),0)+IFERROR(VLOOKUP(L22,'장비 등급별 옵션'!$J$16:$N$20,2,FALSE),0)+IFERROR(VLOOKUP(M22,'장비 등급별 옵션'!$J$23:$N$27,2,FALSE),0)+IFERROR(VLOOKUP(N22,'장비 등급별 옵션'!$J$30:$N$34,2,FALSE),0)+IFERROR(VLOOKUP(O22,'장비 등급별 옵션'!$J$37:$N$40,2,FALSE),0)</f>
        <v>35079</v>
      </c>
      <c r="U22" s="15">
        <f>IFERROR(VLOOKUP(E22,'장비 등급별 옵션'!$A$2:$D$6,4,FALSE),0)+IFERROR(VLOOKUP(F22,'장비 등급별 옵션'!$A$9:$D$13,4,FALSE),0)+IFERROR(VLOOKUP(G22,'장비 등급별 옵션'!$A$16:$D$20,4,FALSE),0)+IFERROR(VLOOKUP(H22,'장비 등급별 옵션'!$A$23:$D$27,4,FALSE),0)+IFERROR(VLOOKUP(I22,'장비 등급별 옵션'!$A$30:$D$34,4,FALSE),0)+IFERROR(VLOOKUP(J22,'장비 등급별 옵션'!$J$2:$N$6,4,FALSE),0)+IFERROR(VLOOKUP(K22,'장비 등급별 옵션'!$J$9:$N$13,4,FALSE),0)+IFERROR(VLOOKUP(L22,'장비 등급별 옵션'!$J$16:$N$20,4,FALSE),0)+IFERROR(VLOOKUP(M22,'장비 등급별 옵션'!$J$23:$N$27,4,FALSE),0)+IFERROR(VLOOKUP(N22,'장비 등급별 옵션'!$J$30:$N$34,4,FALSE),0)+IFERROR(VLOOKUP(O22,'장비 등급별 옵션'!$J$37:$N$40,4,FALSE),0)</f>
        <v>130</v>
      </c>
      <c r="V22" s="15">
        <f>IFERROR(VLOOKUP(E22,'장비 등급별 옵션'!$A$2:$D$6,5,FALSE),0)+IFERROR(VLOOKUP(F22,'장비 등급별 옵션'!$A$9:$D$13,5,FALSE),0)+IFERROR(VLOOKUP(G22,'장비 등급별 옵션'!$A$16:$D$20,5,FALSE),0)+IFERROR(VLOOKUP(H22,'장비 등급별 옵션'!$A$23:$D$27,5,FALSE),0)+IFERROR(VLOOKUP(I22,'장비 등급별 옵션'!$A$30:$D$34,5,FALSE),0)+IFERROR(VLOOKUP(J22,'장비 등급별 옵션'!$J$2:$N$6,5,FALSE),0)+IFERROR(VLOOKUP(K22,'장비 등급별 옵션'!$J$9:$N$13,5,FALSE),0)+IFERROR(VLOOKUP(L22,'장비 등급별 옵션'!$J$16:$N$20,5,FALSE),0)+IFERROR(VLOOKUP(M22,'장비 등급별 옵션'!$J$23:$N$27,5,FALSE),0)+IFERROR(VLOOKUP(N22,'장비 등급별 옵션'!$J$30:$N$34,5,FALSE),0)+IFERROR(VLOOKUP(O22,'장비 등급별 옵션'!$J$37:$N$40,5,FALSE),0)</f>
        <v>15</v>
      </c>
      <c r="W22" s="14">
        <f>IFERROR(VLOOKUP(E22,'장비 등급별 옵션'!$A$2:$H$6,5,FALSE),0)+IFERROR(VLOOKUP(F22,'장비 등급별 옵션'!$A$9:$H$13,5,FALSE),0)+IFERROR(VLOOKUP(G22,'장비 등급별 옵션'!$A$16:$H$20,5,FALSE),0)+IFERROR(VLOOKUP(H22,'장비 등급별 옵션'!$A$23:$H$27,5,FALSE),0)+IFERROR(VLOOKUP(I22,'장비 등급별 옵션'!$A$30:$H$34,5,FALSE),0)+IFERROR(VLOOKUP(J22,'장비 등급별 옵션'!$J$2:$R$6,6,FALSE),0)+IFERROR(VLOOKUP(K22,'장비 등급별 옵션'!$J$9:$R$13,6,FALSE),0)+IFERROR(VLOOKUP(L22,'장비 등급별 옵션'!$J$16:$R$20,6,FALSE),0)+IFERROR(VLOOKUP(M22,'장비 등급별 옵션'!$J$23:$R$27,6,FALSE),0)+IFERROR(VLOOKUP(N22,'장비 등급별 옵션'!$J$30:$R$34,6,FALSE),0)+IFERROR(VLOOKUP(O22,'장비 등급별 옵션'!$J$37:$R$40,6,FALSE),0)</f>
        <v>1719</v>
      </c>
      <c r="X22" s="16">
        <f t="shared" si="2"/>
        <v>0.94456623385984351</v>
      </c>
      <c r="Y22" s="16">
        <f t="shared" si="3"/>
        <v>1</v>
      </c>
      <c r="Z22" s="16">
        <f t="shared" si="4"/>
        <v>1</v>
      </c>
      <c r="AA22" s="15">
        <f t="shared" si="5"/>
        <v>13372.275598276585</v>
      </c>
      <c r="AB22" s="16">
        <f t="shared" si="6"/>
        <v>0.92487369114739693</v>
      </c>
      <c r="AC22" s="16">
        <f t="shared" si="7"/>
        <v>0.97915176087549138</v>
      </c>
      <c r="AD22" s="16">
        <f t="shared" si="8"/>
        <v>572.4</v>
      </c>
      <c r="AE22" s="14">
        <f t="shared" si="9"/>
        <v>12631</v>
      </c>
      <c r="AF22" s="14">
        <f t="shared" si="10"/>
        <v>0</v>
      </c>
    </row>
    <row r="23" spans="1:3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32" ht="16.5" customHeight="1">
      <c r="A24" s="10" t="s">
        <v>58</v>
      </c>
      <c r="B24" s="10" t="s">
        <v>59</v>
      </c>
      <c r="C24" s="10" t="s">
        <v>60</v>
      </c>
      <c r="D24" s="10" t="s">
        <v>61</v>
      </c>
      <c r="E24" s="8" t="s">
        <v>4</v>
      </c>
      <c r="F24" s="8" t="s">
        <v>5</v>
      </c>
      <c r="G24" s="8" t="s">
        <v>6</v>
      </c>
      <c r="H24" s="8" t="s">
        <v>7</v>
      </c>
      <c r="I24" s="8" t="s">
        <v>8</v>
      </c>
      <c r="J24" s="10" t="s">
        <v>9</v>
      </c>
      <c r="K24" s="10" t="s">
        <v>10</v>
      </c>
      <c r="L24" s="10" t="s">
        <v>11</v>
      </c>
      <c r="M24" s="10" t="s">
        <v>12</v>
      </c>
      <c r="N24" s="10" t="s">
        <v>13</v>
      </c>
      <c r="O24" s="10" t="s">
        <v>14</v>
      </c>
      <c r="P24" s="10"/>
      <c r="Q24" s="10" t="s">
        <v>62</v>
      </c>
      <c r="R24" s="10" t="s">
        <v>63</v>
      </c>
      <c r="S24" s="10"/>
      <c r="T24" s="10"/>
      <c r="U24" s="10"/>
      <c r="V24" s="10"/>
      <c r="W24" s="10"/>
      <c r="X24" s="10"/>
      <c r="Y24" s="10"/>
      <c r="Z24" s="10"/>
      <c r="AA24" s="10"/>
    </row>
    <row r="25" spans="1:32" ht="16.5" customHeight="1">
      <c r="A25" s="10" t="s">
        <v>64</v>
      </c>
      <c r="B25" s="10">
        <f>IFERROR(VLOOKUP(E25,'장비 등급별 옵션'!$A$43:$B$48,2,FALSE),0)+IFERROR(VLOOKUP(F25,'장비 등급별 옵션'!$A$43:$B$48,2,FALSE),0)+IFERROR(VLOOKUP(G25,'장비 등급별 옵션'!$A$43:$B$48,2,FALSE),0)+IFERROR(VLOOKUP(H25,'장비 등급별 옵션'!$A$43:$B$48,2,FALSE),0)+IFERROR(VLOOKUP(I25,'장비 등급별 옵션'!$A$43:$B$48,2,FALSE),0)+IFERROR(VLOOKUP(J25,'장비 등급별 옵션'!$A$43:$B$48,2,FALSE),0)+IFERROR(VLOOKUP(K25,'장비 등급별 옵션'!$A$43:$B$48,2,FALSE),0)+IFERROR(VLOOKUP(L25,'장비 등급별 옵션'!$A$43:$B$48,2,FALSE),0)+IFERROR(VLOOKUP(M25,'장비 등급별 옵션'!$A$43:$B$48,2,FALSE),0)+IFERROR(VLOOKUP(N25,'장비 등급별 옵션'!$A$43:$B$48,2,FALSE),0)+IFERROR(VLOOKUP(O25,'장비 등급별 옵션'!$A$43:$B$48,2,FALSE),0)</f>
        <v>2615</v>
      </c>
      <c r="C25" s="10">
        <v>13657</v>
      </c>
      <c r="D25" s="10">
        <v>6453</v>
      </c>
      <c r="E25" s="10" t="s">
        <v>57</v>
      </c>
      <c r="F25" s="10" t="s">
        <v>57</v>
      </c>
      <c r="G25" s="10" t="s">
        <v>57</v>
      </c>
      <c r="H25" s="10" t="s">
        <v>57</v>
      </c>
      <c r="I25" s="10" t="s">
        <v>57</v>
      </c>
      <c r="J25" s="10" t="s">
        <v>56</v>
      </c>
      <c r="K25" s="10" t="s">
        <v>56</v>
      </c>
      <c r="L25" s="10" t="s">
        <v>56</v>
      </c>
      <c r="M25" s="10" t="s">
        <v>48</v>
      </c>
      <c r="N25" s="10" t="s">
        <v>48</v>
      </c>
      <c r="O25" s="10" t="s">
        <v>48</v>
      </c>
      <c r="P25" s="10">
        <v>11707</v>
      </c>
      <c r="Q25" s="10">
        <v>779</v>
      </c>
      <c r="R25" s="10">
        <v>4</v>
      </c>
      <c r="S25" s="15">
        <f>(1+IFERROR(VLOOKUP(E25,'장비 등급별 옵션'!$A$2:$D$6,3,FALSE),0)/100)*(1+IFERROR(VLOOKUP(F25,'장비 등급별 옵션'!$A$9:$D$13,3,FALSE),0)/100)*(1+IFERROR(VLOOKUP(G25,'장비 등급별 옵션'!$A$16:$D$20,3,FALSE),0)/100)*(1+IFERROR(VLOOKUP(H25,'장비 등급별 옵션'!$A$23:$D$27,3,FALSE),0)/100)*(1+IFERROR(VLOOKUP(I25,'장비 등급별 옵션'!$A$30:$D$34,3,FALSE),0)/100)*(1+IFERROR(VLOOKUP(J25,'장비 등급별 옵션'!$J$2:$N$6,3,FALSE),0)/100)*(1+IFERROR(VLOOKUP(K25,'장비 등급별 옵션'!$J$9:$N$13,3,FALSE),0)/100)*(1+IFERROR(VLOOKUP(L25,'장비 등급별 옵션'!$J$16:$N$20,3,FALSE),0)/100)*(1+IFERROR(VLOOKUP(M25,'장비 등급별 옵션'!$J$23:$N$27,3,FALSE),0)/100)*(1+IFERROR(VLOOKUP(N25,'장비 등급별 옵션'!$J$30:$N$34,3,FALSE),0)/100)*(1+IFERROR(VLOOKUP(O25,'장비 등급별 옵션'!$J$37:$N$40,3,FALSE),0)/100)</f>
        <v>133.53254865875803</v>
      </c>
      <c r="T25" s="15">
        <f>IFERROR(VLOOKUP(E25,'장비 등급별 옵션'!$A$2:$D$6,2,FALSE),0)+IFERROR(VLOOKUP(F25,'장비 등급별 옵션'!$A$9:$D$13,2,FALSE),0)+IFERROR(VLOOKUP(G25,'장비 등급별 옵션'!$A$16:$D$20,2,FALSE),0)+IFERROR(VLOOKUP(H25,'장비 등급별 옵션'!$A$23:$D$27,2,FALSE),0)+IFERROR(VLOOKUP(I25,'장비 등급별 옵션'!$A$30:$D$34,2,FALSE),0)+IFERROR(VLOOKUP(J25,'장비 등급별 옵션'!$J$2:$N$6,2,FALSE),0)+IFERROR(VLOOKUP(K25,'장비 등급별 옵션'!$J$9:$N$13,2,FALSE),0)+IFERROR(VLOOKUP(L25,'장비 등급별 옵션'!$J$16:$N$20,2,FALSE),0)+IFERROR(VLOOKUP(M25,'장비 등급별 옵션'!$J$23:$N$27,2,FALSE),0)+IFERROR(VLOOKUP(N25,'장비 등급별 옵션'!$J$30:$N$34,2,FALSE),0)+IFERROR(VLOOKUP(O25,'장비 등급별 옵션'!$J$37:$N$40,2,FALSE),0)</f>
        <v>35079</v>
      </c>
      <c r="U25" s="15">
        <f>IFERROR(VLOOKUP(E25,'장비 등급별 옵션'!$A$2:$D$6,4,FALSE),0)+IFERROR(VLOOKUP(F25,'장비 등급별 옵션'!$A$9:$D$13,4,FALSE),0)+IFERROR(VLOOKUP(G25,'장비 등급별 옵션'!$A$16:$D$20,4,FALSE),0)+IFERROR(VLOOKUP(H25,'장비 등급별 옵션'!$A$23:$D$27,4,FALSE),0)+IFERROR(VLOOKUP(I25,'장비 등급별 옵션'!$A$30:$D$34,4,FALSE),0)+IFERROR(VLOOKUP(J25,'장비 등급별 옵션'!$J$2:$N$6,4,FALSE),0)+IFERROR(VLOOKUP(K25,'장비 등급별 옵션'!$J$9:$N$13,4,FALSE),0)+IFERROR(VLOOKUP(L25,'장비 등급별 옵션'!$J$16:$N$20,4,FALSE),0)+IFERROR(VLOOKUP(M25,'장비 등급별 옵션'!$J$23:$N$27,4,FALSE),0)+IFERROR(VLOOKUP(N25,'장비 등급별 옵션'!$J$30:$N$34,4,FALSE),0)+IFERROR(VLOOKUP(O25,'장비 등급별 옵션'!$J$37:$N$40,4,FALSE),0)</f>
        <v>130</v>
      </c>
      <c r="V25" s="15">
        <f>IFERROR(VLOOKUP(E25,'장비 등급별 옵션'!$A$2:$D$6,5,FALSE),0)+IFERROR(VLOOKUP(F25,'장비 등급별 옵션'!$A$9:$D$13,5,FALSE),0)+IFERROR(VLOOKUP(G25,'장비 등급별 옵션'!$A$16:$D$20,5,FALSE),0)+IFERROR(VLOOKUP(H25,'장비 등급별 옵션'!$A$23:$D$27,5,FALSE),0)+IFERROR(VLOOKUP(I25,'장비 등급별 옵션'!$A$30:$D$34,5,FALSE),0)+IFERROR(VLOOKUP(J25,'장비 등급별 옵션'!$J$2:$N$6,5,FALSE),0)+IFERROR(VLOOKUP(K25,'장비 등급별 옵션'!$J$9:$N$13,5,FALSE),0)+IFERROR(VLOOKUP(L25,'장비 등급별 옵션'!$J$16:$N$20,5,FALSE),0)+IFERROR(VLOOKUP(M25,'장비 등급별 옵션'!$J$23:$N$27,5,FALSE),0)+IFERROR(VLOOKUP(N25,'장비 등급별 옵션'!$J$30:$N$34,5,FALSE),0)+IFERROR(VLOOKUP(O25,'장비 등급별 옵션'!$J$37:$N$40,5,FALSE),0)</f>
        <v>15</v>
      </c>
      <c r="W25" s="14">
        <f>IFERROR(VLOOKUP(E25,'장비 등급별 옵션'!$A$2:$H$6,5,FALSE),0)+IFERROR(VLOOKUP(F25,'장비 등급별 옵션'!$A$9:$H$13,5,FALSE),0)+IFERROR(VLOOKUP(G25,'장비 등급별 옵션'!$A$16:$H$20,5,FALSE),0)+IFERROR(VLOOKUP(H25,'장비 등급별 옵션'!$A$23:$H$27,5,FALSE),0)+IFERROR(VLOOKUP(I25,'장비 등급별 옵션'!$A$30:$H$34,5,FALSE),0)+IFERROR(VLOOKUP(J25,'장비 등급별 옵션'!$J$2:$R$6,6,FALSE),0)+IFERROR(VLOOKUP(K25,'장비 등급별 옵션'!$J$9:$R$13,6,FALSE),0)+IFERROR(VLOOKUP(L25,'장비 등급별 옵션'!$J$16:$R$20,6,FALSE),0)+IFERROR(VLOOKUP(M25,'장비 등급별 옵션'!$J$23:$R$27,6,FALSE),0)+IFERROR(VLOOKUP(N25,'장비 등급별 옵션'!$J$30:$R$34,6,FALSE),0)+IFERROR(VLOOKUP(O25,'장비 등급별 옵션'!$J$37:$R$40,6,FALSE),0)</f>
        <v>1719</v>
      </c>
      <c r="X25" s="16">
        <f>1</f>
        <v>1</v>
      </c>
      <c r="Y25" s="16">
        <f>1</f>
        <v>1</v>
      </c>
      <c r="Z25" s="16">
        <f>1</f>
        <v>1</v>
      </c>
      <c r="AA25" s="15">
        <f>C25</f>
        <v>13657</v>
      </c>
      <c r="AB25" s="15">
        <f>1</f>
        <v>1</v>
      </c>
      <c r="AC25" s="15">
        <f>1</f>
        <v>1</v>
      </c>
      <c r="AD25" s="15">
        <f>IF(OR(AC25="",$AC$2="",$R$25=""),"",ROUND((AC25/$AC$2*(1+$R$25/100)-1)*100,1))</f>
        <v>586.70000000000005</v>
      </c>
      <c r="AE25" s="15">
        <f>C25</f>
        <v>13657</v>
      </c>
      <c r="AF25" s="15">
        <f>0</f>
        <v>0</v>
      </c>
    </row>
    <row r="26" spans="1:32" ht="16.5" customHeight="1">
      <c r="C26" s="10" t="s">
        <v>65</v>
      </c>
    </row>
    <row r="27" spans="1:32">
      <c r="C27" s="10">
        <v>71104</v>
      </c>
    </row>
  </sheetData>
  <autoFilter ref="A1:AF22" xr:uid="{00000000-0009-0000-0000-000000000000}"/>
  <phoneticPr fontId="2" type="noConversion"/>
  <dataValidations xWindow="446" yWindow="320" count="22"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E25" xr:uid="{00000000-0002-0000-0000-000000000000}">
      <formula1>Equip_Jacket_Grades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F25" xr:uid="{00000000-0002-0000-0000-000001000000}">
      <formula1>Equip_Shoulder_Grades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G25" xr:uid="{00000000-0002-0000-0000-000002000000}">
      <formula1>Equip_Pants_Grades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H25" xr:uid="{00000000-0002-0000-0000-000003000000}">
      <formula1>Equip_Shoes_Grades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I25" xr:uid="{00000000-0002-0000-0000-000004000000}">
      <formula1>Equip_Belt_Grades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J25" xr:uid="{00000000-0002-0000-0000-000005000000}">
      <formula1>Equip_Necklace_Grades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K25" xr:uid="{00000000-0002-0000-0000-000006000000}">
      <formula1>Equip_Ring_Grades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L25" xr:uid="{00000000-0002-0000-0000-000007000000}">
      <formula1>Equip_Bracelet_Grades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M25" xr:uid="{00000000-0002-0000-0000-000008000000}">
      <formula1>Equip_SubEquipment_Grades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N25" xr:uid="{00000000-0002-0000-0000-000009000000}">
      <formula1>Equip_MagicStone_Grades</formula1>
    </dataValidation>
    <dataValidation type="list" allowBlank="1" showInputMessage="1" showErrorMessage="1" errorTitle="목록에서 선택" error="장비 등급별 옵션 시트에 있는 등급만 선택할 수 있습니다." promptTitle="장비 등급 선택" prompt="드롭다운에서 등급을 선택하세요." sqref="O25" xr:uid="{00000000-0002-0000-0000-00000A000000}">
      <formula1>Equip_Earring_Grades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E2:E22" xr:uid="{00000000-0002-0000-0000-00000B000000}">
      <formula1>Equip_Jacket_Grades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O2:O22" xr:uid="{00000000-0002-0000-0000-00000C000000}">
      <formula1>Equip_Earring_Grades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N2:N22" xr:uid="{00000000-0002-0000-0000-00000D000000}">
      <formula1>Equip_MagicStone_Grades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M2:M22" xr:uid="{00000000-0002-0000-0000-00000E000000}">
      <formula1>Equip_SubEquipment_Grades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L2:L22" xr:uid="{00000000-0002-0000-0000-00000F000000}">
      <formula1>Equip_Bracelet_Grades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K2:K22" xr:uid="{00000000-0002-0000-0000-000010000000}">
      <formula1>Equip_Ring_Grades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J2:J22" xr:uid="{00000000-0002-0000-0000-000011000000}">
      <formula1>Equip_Necklace_Grades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I2:I22" xr:uid="{00000000-0002-0000-0000-000012000000}">
      <formula1>Equip_Belt_Grades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H2:H22" xr:uid="{00000000-0002-0000-0000-000013000000}">
      <formula1>Equip_Shoes_Grades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F2:F22" xr:uid="{00000000-0002-0000-0000-000014000000}">
      <formula1>Equip_Shoulder_Grades</formula1>
    </dataValidation>
    <dataValidation type="list" allowBlank="1" showErrorMessage="1" errorTitle="목록에서 선택" error="장비 등급별 옵션 시트에 있는 등급만 선택할 수 있습니다." promptTitle="장비 등급 선택" prompt="드롭다운에서 등급을 선택하세요." sqref="G2:G22" xr:uid="{00000000-0002-0000-0000-000015000000}">
      <formula1>Equip_Pants_Grades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>
      <pane ySplit="1" topLeftCell="A2" activePane="bottomLeft" state="frozen"/>
      <selection pane="bottomLeft" activeCell="L31" sqref="L31"/>
    </sheetView>
  </sheetViews>
  <sheetFormatPr defaultRowHeight="15"/>
  <cols>
    <col min="1" max="2" width="16" customWidth="1"/>
    <col min="3" max="3" width="24.85546875" bestFit="1" customWidth="1"/>
    <col min="4" max="4" width="24.140625" bestFit="1" customWidth="1"/>
    <col min="5" max="5" width="13.7109375" bestFit="1" customWidth="1"/>
    <col min="6" max="6" width="13.7109375" customWidth="1"/>
    <col min="7" max="10" width="15.7109375" customWidth="1"/>
    <col min="11" max="11" width="16" bestFit="1" customWidth="1"/>
    <col min="12" max="12" width="16.5703125" bestFit="1" customWidth="1"/>
    <col min="13" max="13" width="14" customWidth="1"/>
    <col min="14" max="14" width="16" customWidth="1"/>
    <col min="15" max="15" width="18" customWidth="1"/>
    <col min="16" max="16" width="16" customWidth="1"/>
    <col min="17" max="17" width="14" customWidth="1"/>
  </cols>
  <sheetData>
    <row r="1" spans="1:17" ht="16.5" customHeight="1">
      <c r="A1" s="8" t="s">
        <v>0</v>
      </c>
      <c r="B1" s="8" t="s">
        <v>66</v>
      </c>
      <c r="C1" s="8" t="s">
        <v>2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9" t="s">
        <v>74</v>
      </c>
      <c r="L1" s="9" t="s">
        <v>75</v>
      </c>
      <c r="M1" s="9" t="s">
        <v>76</v>
      </c>
      <c r="N1" s="9" t="s">
        <v>77</v>
      </c>
      <c r="O1" s="9" t="s">
        <v>78</v>
      </c>
      <c r="P1" s="9" t="s">
        <v>79</v>
      </c>
      <c r="Q1" s="9" t="s">
        <v>80</v>
      </c>
    </row>
    <row r="2" spans="1:17" ht="16.5" customHeight="1">
      <c r="A2" s="10" t="s">
        <v>32</v>
      </c>
      <c r="B2" s="10">
        <v>750</v>
      </c>
      <c r="C2" s="10">
        <v>7439</v>
      </c>
      <c r="D2" s="10">
        <v>760</v>
      </c>
      <c r="E2" s="10" t="s">
        <v>33</v>
      </c>
      <c r="F2" s="10">
        <v>11</v>
      </c>
      <c r="G2" s="10"/>
      <c r="H2" s="10"/>
      <c r="I2" s="10"/>
      <c r="J2" s="10"/>
      <c r="K2" s="11">
        <f>0</f>
        <v>0</v>
      </c>
      <c r="L2" s="11">
        <f t="shared" ref="L2:L22" si="0">(Q2/$Q$2-1)*100</f>
        <v>0</v>
      </c>
      <c r="M2" s="11">
        <f t="shared" ref="M2:M22" si="1">POWER(1.13,N(F2))*POWER(1.17,N(G2))*POWER(1.2,N(H2))*POWER(1.23,N(I2))*POWER(1.26,N(J2))</f>
        <v>3.8358611506121072</v>
      </c>
      <c r="N2" s="11">
        <f t="shared" ref="N2:N22" si="2">IF(E2="유니크",1.38,IF(E2="레전더리",1.44,IF(E2="에픽",1.5,IF(E2="태초",1.57,1))))</f>
        <v>1.38</v>
      </c>
      <c r="O2" s="11">
        <f t="shared" ref="O2:O22" si="3">1+IF(D2&gt;=2550,62+INT((D2-2550)/25)*0.5,IF(D2&gt;=2100,50+INT((D2-2100)/25)*0.5,IF(D2&gt;=1650,39+INT((D2-1650)/25)*0.5,IF(D2&gt;=1200,28+INT((D2-1200)/25)*0.5,IF(D2&gt;=750,17+INT((D2-750)/25)*0.5,0)))))/100</f>
        <v>1.17</v>
      </c>
      <c r="P2" s="10">
        <f t="shared" ref="P2:P22" si="4">IF(E2="유니크",(1+(6679+298+168350+297900+INT(3.08*(6679+298-815)+2886))/250)/(1+(6679+168350+297900+INT(3.08*(6679-815)+2886))/250),IF(E2="레전더리",(1+(6679+350+168350+297900+INT(3.08*(6679+350-815)+2886))/250)/(1+(6679+168350+297900+INT(3.08*(6679-815)+2886))/250),IF(E2="에픽",(1+(6679+400+168350+297900+INT(3.08*(6679+400-815)+2886))/250)/(1+(6679+168350+297900+INT(3.08*(6679-815)+2886))/250),IF(E2="태초",(1+(6679+450+168350+297900+INT(3.08*(6679+450-815)+2886))/250)/(1+(6679+168350+297900+INT(3.08*(6679-815)+2886))/250),1))))</f>
        <v>1.0024588870045292</v>
      </c>
      <c r="Q2" s="12">
        <f t="shared" ref="Q2:Q22" si="5">C2/M2/N2/O2/P2</f>
        <v>1198.1747466526447</v>
      </c>
    </row>
    <row r="3" spans="1:17" ht="16.5" customHeight="1">
      <c r="A3" s="10" t="s">
        <v>35</v>
      </c>
      <c r="B3" s="10">
        <v>830</v>
      </c>
      <c r="C3" s="10">
        <v>7534</v>
      </c>
      <c r="D3" s="10">
        <v>830</v>
      </c>
      <c r="E3" s="10" t="s">
        <v>33</v>
      </c>
      <c r="F3" s="10">
        <v>11</v>
      </c>
      <c r="G3" s="10"/>
      <c r="H3" s="10"/>
      <c r="I3" s="10"/>
      <c r="J3" s="10"/>
      <c r="K3" s="11">
        <f t="shared" ref="K3:K22" si="6">(Q3/Q2-1)*100</f>
        <v>-4.9346499206293082E-3</v>
      </c>
      <c r="L3" s="11">
        <f t="shared" si="0"/>
        <v>-4.9346499206293082E-3</v>
      </c>
      <c r="M3" s="11">
        <f t="shared" si="1"/>
        <v>3.8358611506121072</v>
      </c>
      <c r="N3" s="11">
        <f t="shared" si="2"/>
        <v>1.38</v>
      </c>
      <c r="O3" s="11">
        <f t="shared" si="3"/>
        <v>1.1850000000000001</v>
      </c>
      <c r="P3" s="10">
        <f t="shared" si="4"/>
        <v>1.0024588870045292</v>
      </c>
      <c r="Q3" s="12">
        <f t="shared" si="5"/>
        <v>1198.11562092346</v>
      </c>
    </row>
    <row r="4" spans="1:17" ht="16.5" customHeight="1">
      <c r="A4" s="10" t="s">
        <v>36</v>
      </c>
      <c r="B4" s="10">
        <v>910</v>
      </c>
      <c r="C4" s="10">
        <v>7630</v>
      </c>
      <c r="D4" s="10">
        <v>910</v>
      </c>
      <c r="E4" s="10" t="s">
        <v>33</v>
      </c>
      <c r="F4" s="10">
        <v>11</v>
      </c>
      <c r="G4" s="10"/>
      <c r="H4" s="10"/>
      <c r="I4" s="10"/>
      <c r="J4" s="10"/>
      <c r="K4" s="11">
        <f t="shared" si="6"/>
        <v>8.2957260419291856E-3</v>
      </c>
      <c r="L4" s="11">
        <f t="shared" si="0"/>
        <v>3.3606667562580128E-3</v>
      </c>
      <c r="M4" s="11">
        <f t="shared" si="1"/>
        <v>3.8358611506121072</v>
      </c>
      <c r="N4" s="11">
        <f t="shared" si="2"/>
        <v>1.38</v>
      </c>
      <c r="O4" s="11">
        <f t="shared" si="3"/>
        <v>1.2</v>
      </c>
      <c r="P4" s="10">
        <f t="shared" si="4"/>
        <v>1.0024588870045292</v>
      </c>
      <c r="Q4" s="12">
        <f t="shared" si="5"/>
        <v>1198.2150133130374</v>
      </c>
    </row>
    <row r="5" spans="1:17" ht="16.5" customHeight="1">
      <c r="A5" s="10" t="s">
        <v>37</v>
      </c>
      <c r="B5" s="10">
        <v>990</v>
      </c>
      <c r="C5" s="10">
        <v>7725</v>
      </c>
      <c r="D5" s="10">
        <v>990</v>
      </c>
      <c r="E5" s="10" t="s">
        <v>33</v>
      </c>
      <c r="F5" s="10">
        <v>11</v>
      </c>
      <c r="G5" s="10"/>
      <c r="H5" s="10"/>
      <c r="I5" s="10"/>
      <c r="J5" s="10"/>
      <c r="K5" s="11">
        <f t="shared" si="6"/>
        <v>-4.8541332945073457E-3</v>
      </c>
      <c r="L5" s="11">
        <f t="shared" si="0"/>
        <v>-1.493629669491181E-3</v>
      </c>
      <c r="M5" s="11">
        <f t="shared" si="1"/>
        <v>3.8358611506121072</v>
      </c>
      <c r="N5" s="11">
        <f t="shared" si="2"/>
        <v>1.38</v>
      </c>
      <c r="O5" s="11">
        <f t="shared" si="3"/>
        <v>1.2150000000000001</v>
      </c>
      <c r="P5" s="10">
        <f t="shared" si="4"/>
        <v>1.0024588870045292</v>
      </c>
      <c r="Q5" s="12">
        <f t="shared" si="5"/>
        <v>1198.1568503591363</v>
      </c>
    </row>
    <row r="6" spans="1:17" ht="16.5" customHeight="1">
      <c r="A6" s="10" t="s">
        <v>38</v>
      </c>
      <c r="B6" s="10">
        <v>1070</v>
      </c>
      <c r="C6" s="10">
        <v>7820</v>
      </c>
      <c r="D6" s="10">
        <v>1070</v>
      </c>
      <c r="E6" s="10" t="s">
        <v>33</v>
      </c>
      <c r="F6" s="10">
        <v>11</v>
      </c>
      <c r="G6" s="10"/>
      <c r="H6" s="10"/>
      <c r="I6" s="10"/>
      <c r="J6" s="10"/>
      <c r="K6" s="11">
        <f t="shared" si="6"/>
        <v>-4.7359696897730785E-3</v>
      </c>
      <c r="L6" s="11">
        <f t="shared" si="0"/>
        <v>-6.2295286214153478E-3</v>
      </c>
      <c r="M6" s="11">
        <f t="shared" si="1"/>
        <v>3.8358611506121072</v>
      </c>
      <c r="N6" s="11">
        <f t="shared" si="2"/>
        <v>1.38</v>
      </c>
      <c r="O6" s="11">
        <f t="shared" si="3"/>
        <v>1.23</v>
      </c>
      <c r="P6" s="10">
        <f t="shared" si="4"/>
        <v>1.0024588870045292</v>
      </c>
      <c r="Q6" s="12">
        <f t="shared" si="5"/>
        <v>1198.1001060138674</v>
      </c>
    </row>
    <row r="7" spans="1:17" ht="16.5" customHeight="1">
      <c r="A7" s="10" t="s">
        <v>39</v>
      </c>
      <c r="B7" s="10">
        <v>1200</v>
      </c>
      <c r="C7" s="10">
        <v>16477</v>
      </c>
      <c r="D7" s="10">
        <v>1200</v>
      </c>
      <c r="E7" s="10" t="s">
        <v>33</v>
      </c>
      <c r="F7" s="10"/>
      <c r="G7" s="10">
        <v>11</v>
      </c>
      <c r="H7" s="10"/>
      <c r="I7" s="10"/>
      <c r="J7" s="10"/>
      <c r="K7" s="11">
        <f t="shared" si="6"/>
        <v>38.097217948855722</v>
      </c>
      <c r="L7" s="11">
        <f t="shared" si="0"/>
        <v>38.088615143138213</v>
      </c>
      <c r="M7" s="11">
        <f t="shared" si="1"/>
        <v>5.6239892154163984</v>
      </c>
      <c r="N7" s="11">
        <f t="shared" si="2"/>
        <v>1.38</v>
      </c>
      <c r="O7" s="11">
        <f t="shared" si="3"/>
        <v>1.28</v>
      </c>
      <c r="P7" s="10">
        <f t="shared" si="4"/>
        <v>1.0024588870045292</v>
      </c>
      <c r="Q7" s="12">
        <f t="shared" si="5"/>
        <v>1654.5429146474419</v>
      </c>
    </row>
    <row r="8" spans="1:17" ht="16.5" customHeight="1">
      <c r="A8" s="10" t="s">
        <v>40</v>
      </c>
      <c r="B8" s="10">
        <v>1285</v>
      </c>
      <c r="C8" s="10">
        <v>20179</v>
      </c>
      <c r="D8" s="10">
        <v>1290</v>
      </c>
      <c r="E8" s="10" t="s">
        <v>41</v>
      </c>
      <c r="F8" s="10"/>
      <c r="G8" s="10">
        <v>11</v>
      </c>
      <c r="H8" s="10"/>
      <c r="I8" s="10"/>
      <c r="J8" s="10"/>
      <c r="K8" s="11">
        <f t="shared" si="6"/>
        <v>15.955561893043434</v>
      </c>
      <c r="L8" s="11">
        <f t="shared" si="0"/>
        <v>60.121429599548208</v>
      </c>
      <c r="M8" s="11">
        <f t="shared" si="1"/>
        <v>5.6239892154163984</v>
      </c>
      <c r="N8" s="11">
        <f t="shared" si="2"/>
        <v>1.44</v>
      </c>
      <c r="O8" s="11">
        <f t="shared" si="3"/>
        <v>1.2949999999999999</v>
      </c>
      <c r="P8" s="10">
        <f t="shared" si="4"/>
        <v>1.0028899511460641</v>
      </c>
      <c r="Q8" s="12">
        <f t="shared" si="5"/>
        <v>1918.5345334409794</v>
      </c>
    </row>
    <row r="9" spans="1:17" ht="16.5" customHeight="1">
      <c r="A9" s="10" t="s">
        <v>42</v>
      </c>
      <c r="B9" s="10">
        <v>1370</v>
      </c>
      <c r="C9" s="10">
        <v>23235</v>
      </c>
      <c r="D9" s="10">
        <v>1370</v>
      </c>
      <c r="E9" s="10" t="s">
        <v>41</v>
      </c>
      <c r="F9" s="10"/>
      <c r="G9" s="10">
        <v>11</v>
      </c>
      <c r="H9" s="10"/>
      <c r="I9" s="10"/>
      <c r="J9" s="10"/>
      <c r="K9" s="11">
        <f t="shared" si="6"/>
        <v>13.826009126712858</v>
      </c>
      <c r="L9" s="11">
        <f t="shared" si="0"/>
        <v>82.259833069804841</v>
      </c>
      <c r="M9" s="11">
        <f t="shared" si="1"/>
        <v>5.6239892154163984</v>
      </c>
      <c r="N9" s="11">
        <f t="shared" si="2"/>
        <v>1.44</v>
      </c>
      <c r="O9" s="11">
        <f t="shared" si="3"/>
        <v>1.31</v>
      </c>
      <c r="P9" s="10">
        <f t="shared" si="4"/>
        <v>1.0028899511460641</v>
      </c>
      <c r="Q9" s="12">
        <f t="shared" si="5"/>
        <v>2183.7912931336673</v>
      </c>
    </row>
    <row r="10" spans="1:17" ht="16.5" customHeight="1">
      <c r="A10" s="10" t="s">
        <v>43</v>
      </c>
      <c r="B10" s="10">
        <v>1455</v>
      </c>
      <c r="C10" s="10">
        <v>26448</v>
      </c>
      <c r="D10" s="10">
        <v>1460</v>
      </c>
      <c r="E10" s="10" t="s">
        <v>41</v>
      </c>
      <c r="F10" s="10"/>
      <c r="G10" s="10">
        <v>11</v>
      </c>
      <c r="H10" s="10"/>
      <c r="I10" s="10"/>
      <c r="J10" s="10"/>
      <c r="K10" s="11">
        <f t="shared" si="6"/>
        <v>12.116572904177803</v>
      </c>
      <c r="L10" s="11">
        <f t="shared" si="0"/>
        <v>104.34347861874049</v>
      </c>
      <c r="M10" s="11">
        <f t="shared" si="1"/>
        <v>5.6239892154163984</v>
      </c>
      <c r="N10" s="11">
        <f t="shared" si="2"/>
        <v>1.44</v>
      </c>
      <c r="O10" s="11">
        <f t="shared" si="3"/>
        <v>1.33</v>
      </c>
      <c r="P10" s="10">
        <f t="shared" si="4"/>
        <v>1.0028899511460641</v>
      </c>
      <c r="Q10" s="12">
        <f t="shared" si="5"/>
        <v>2448.3919572412951</v>
      </c>
    </row>
    <row r="11" spans="1:17" ht="16.5" customHeight="1">
      <c r="A11" s="10" t="s">
        <v>44</v>
      </c>
      <c r="B11" s="10">
        <v>1540</v>
      </c>
      <c r="C11" s="10">
        <v>29626</v>
      </c>
      <c r="D11" s="10">
        <v>1540</v>
      </c>
      <c r="E11" s="10" t="s">
        <v>41</v>
      </c>
      <c r="F11" s="10"/>
      <c r="G11" s="10">
        <v>11</v>
      </c>
      <c r="H11" s="10"/>
      <c r="I11" s="10"/>
      <c r="J11" s="10"/>
      <c r="K11" s="11">
        <f t="shared" si="6"/>
        <v>10.76678203649104</v>
      </c>
      <c r="L11" s="11">
        <f t="shared" si="0"/>
        <v>126.344695567404</v>
      </c>
      <c r="M11" s="11">
        <f t="shared" si="1"/>
        <v>5.6239892154163984</v>
      </c>
      <c r="N11" s="11">
        <f t="shared" si="2"/>
        <v>1.44</v>
      </c>
      <c r="O11" s="11">
        <f t="shared" si="3"/>
        <v>1.345</v>
      </c>
      <c r="P11" s="10">
        <f t="shared" si="4"/>
        <v>1.0028899511460641</v>
      </c>
      <c r="Q11" s="12">
        <f t="shared" si="5"/>
        <v>2712.0049826764425</v>
      </c>
    </row>
    <row r="12" spans="1:17" ht="16.5" customHeight="1">
      <c r="A12" s="10" t="s">
        <v>45</v>
      </c>
      <c r="B12" s="10">
        <v>1650</v>
      </c>
      <c r="C12" s="10">
        <v>38681</v>
      </c>
      <c r="D12" s="10">
        <v>1650</v>
      </c>
      <c r="E12" s="10" t="s">
        <v>41</v>
      </c>
      <c r="F12" s="10"/>
      <c r="G12" s="10">
        <v>8</v>
      </c>
      <c r="H12" s="10">
        <v>3</v>
      </c>
      <c r="I12" s="10"/>
      <c r="J12" s="10"/>
      <c r="K12" s="11">
        <f t="shared" si="6"/>
        <v>17.097063940249768</v>
      </c>
      <c r="L12" s="11">
        <f t="shared" si="0"/>
        <v>165.04299289392671</v>
      </c>
      <c r="M12" s="11">
        <f t="shared" si="1"/>
        <v>6.0677912605851336</v>
      </c>
      <c r="N12" s="11">
        <f t="shared" si="2"/>
        <v>1.44</v>
      </c>
      <c r="O12" s="11">
        <f t="shared" si="3"/>
        <v>1.3900000000000001</v>
      </c>
      <c r="P12" s="10">
        <f t="shared" si="4"/>
        <v>1.0028899511460641</v>
      </c>
      <c r="Q12" s="12">
        <f t="shared" si="5"/>
        <v>3175.6782086273934</v>
      </c>
    </row>
    <row r="13" spans="1:17" ht="16.5" customHeight="1">
      <c r="A13" s="10" t="s">
        <v>46</v>
      </c>
      <c r="B13" s="10">
        <v>1735</v>
      </c>
      <c r="C13" s="10">
        <v>52879</v>
      </c>
      <c r="D13" s="10">
        <v>1740</v>
      </c>
      <c r="E13" s="10" t="s">
        <v>41</v>
      </c>
      <c r="F13" s="10"/>
      <c r="G13" s="10"/>
      <c r="H13" s="10">
        <v>11</v>
      </c>
      <c r="I13" s="10"/>
      <c r="J13" s="10"/>
      <c r="K13" s="11">
        <f t="shared" si="6"/>
        <v>10.448784816220314</v>
      </c>
      <c r="L13" s="11">
        <f t="shared" si="0"/>
        <v>192.73676489188324</v>
      </c>
      <c r="M13" s="11">
        <f t="shared" si="1"/>
        <v>7.4300837068799988</v>
      </c>
      <c r="N13" s="11">
        <f t="shared" si="2"/>
        <v>1.44</v>
      </c>
      <c r="O13" s="11">
        <f t="shared" si="3"/>
        <v>1.405</v>
      </c>
      <c r="P13" s="10">
        <f t="shared" si="4"/>
        <v>1.0028899511460641</v>
      </c>
      <c r="Q13" s="12">
        <f t="shared" si="5"/>
        <v>3507.4979911024698</v>
      </c>
    </row>
    <row r="14" spans="1:17" ht="16.5" customHeight="1">
      <c r="A14" s="10" t="s">
        <v>47</v>
      </c>
      <c r="B14" s="10">
        <v>1820</v>
      </c>
      <c r="C14" s="10">
        <v>58464</v>
      </c>
      <c r="D14" s="10">
        <v>1820</v>
      </c>
      <c r="E14" s="10" t="s">
        <v>41</v>
      </c>
      <c r="F14" s="10"/>
      <c r="G14" s="10"/>
      <c r="H14" s="10">
        <v>11</v>
      </c>
      <c r="I14" s="10"/>
      <c r="J14" s="10"/>
      <c r="K14" s="11">
        <f t="shared" si="6"/>
        <v>9.3939418960480747</v>
      </c>
      <c r="L14" s="11">
        <f t="shared" si="0"/>
        <v>220.23628649419763</v>
      </c>
      <c r="M14" s="11">
        <f t="shared" si="1"/>
        <v>7.4300837068799988</v>
      </c>
      <c r="N14" s="11">
        <f t="shared" si="2"/>
        <v>1.44</v>
      </c>
      <c r="O14" s="11">
        <f t="shared" si="3"/>
        <v>1.42</v>
      </c>
      <c r="P14" s="10">
        <f t="shared" si="4"/>
        <v>1.0028899511460641</v>
      </c>
      <c r="Q14" s="12">
        <f t="shared" si="5"/>
        <v>3836.9903143916895</v>
      </c>
    </row>
    <row r="15" spans="1:17" ht="16.5" customHeight="1">
      <c r="A15" s="10" t="s">
        <v>49</v>
      </c>
      <c r="B15" s="10">
        <v>1905</v>
      </c>
      <c r="C15" s="10">
        <v>64395</v>
      </c>
      <c r="D15" s="10">
        <v>1910</v>
      </c>
      <c r="E15" s="10" t="s">
        <v>41</v>
      </c>
      <c r="F15" s="10"/>
      <c r="G15" s="10"/>
      <c r="H15" s="10">
        <v>11</v>
      </c>
      <c r="I15" s="10"/>
      <c r="J15" s="10"/>
      <c r="K15" s="11">
        <f t="shared" si="6"/>
        <v>8.6149168719212188</v>
      </c>
      <c r="L15" s="11">
        <f t="shared" si="0"/>
        <v>247.82437636940017</v>
      </c>
      <c r="M15" s="11">
        <f t="shared" si="1"/>
        <v>7.4300837068799988</v>
      </c>
      <c r="N15" s="11">
        <f t="shared" si="2"/>
        <v>1.44</v>
      </c>
      <c r="O15" s="11">
        <f t="shared" si="3"/>
        <v>1.44</v>
      </c>
      <c r="P15" s="10">
        <f t="shared" si="4"/>
        <v>1.0028899511460641</v>
      </c>
      <c r="Q15" s="12">
        <f t="shared" si="5"/>
        <v>4167.543840360202</v>
      </c>
    </row>
    <row r="16" spans="1:17" ht="16.5" customHeight="1">
      <c r="A16" s="10" t="s">
        <v>50</v>
      </c>
      <c r="B16" s="10">
        <v>1990</v>
      </c>
      <c r="C16" s="10">
        <v>70249</v>
      </c>
      <c r="D16" s="10">
        <v>1990</v>
      </c>
      <c r="E16" s="10" t="s">
        <v>41</v>
      </c>
      <c r="F16" s="10"/>
      <c r="G16" s="10"/>
      <c r="H16" s="10">
        <v>11</v>
      </c>
      <c r="I16" s="10"/>
      <c r="J16" s="10"/>
      <c r="K16" s="11">
        <f t="shared" si="6"/>
        <v>7.9661208248383186</v>
      </c>
      <c r="L16" s="11">
        <f t="shared" si="0"/>
        <v>275.53248644922695</v>
      </c>
      <c r="M16" s="11">
        <f t="shared" si="1"/>
        <v>7.4300837068799988</v>
      </c>
      <c r="N16" s="11">
        <f t="shared" si="2"/>
        <v>1.44</v>
      </c>
      <c r="O16" s="11">
        <f t="shared" si="3"/>
        <v>1.4550000000000001</v>
      </c>
      <c r="P16" s="10">
        <f t="shared" si="4"/>
        <v>1.0028899511460641</v>
      </c>
      <c r="Q16" s="12">
        <f t="shared" si="5"/>
        <v>4499.5354181114026</v>
      </c>
    </row>
    <row r="17" spans="1:17" ht="16.5" customHeight="1">
      <c r="A17" s="10" t="s">
        <v>51</v>
      </c>
      <c r="B17" s="10">
        <v>2100</v>
      </c>
      <c r="C17" s="10">
        <v>91713</v>
      </c>
      <c r="D17" s="10">
        <v>2100</v>
      </c>
      <c r="E17" s="10" t="s">
        <v>41</v>
      </c>
      <c r="F17" s="10"/>
      <c r="G17" s="10"/>
      <c r="H17" s="10">
        <v>7</v>
      </c>
      <c r="I17" s="10">
        <v>4</v>
      </c>
      <c r="J17" s="10"/>
      <c r="K17" s="11">
        <f t="shared" si="6"/>
        <v>14.727366854936474</v>
      </c>
      <c r="L17" s="11">
        <f t="shared" si="0"/>
        <v>330.83853338806921</v>
      </c>
      <c r="M17" s="11">
        <f t="shared" si="1"/>
        <v>8.2014221740769262</v>
      </c>
      <c r="N17" s="11">
        <f t="shared" si="2"/>
        <v>1.44</v>
      </c>
      <c r="O17" s="11">
        <f t="shared" si="3"/>
        <v>1.5</v>
      </c>
      <c r="P17" s="10">
        <f t="shared" si="4"/>
        <v>1.0028899511460641</v>
      </c>
      <c r="Q17" s="12">
        <f t="shared" si="5"/>
        <v>5162.1985059044682</v>
      </c>
    </row>
    <row r="18" spans="1:17" ht="16.5" customHeight="1">
      <c r="A18" s="10" t="s">
        <v>52</v>
      </c>
      <c r="B18" s="10">
        <v>2185</v>
      </c>
      <c r="C18" s="10">
        <v>119877</v>
      </c>
      <c r="D18" s="10">
        <v>2190</v>
      </c>
      <c r="E18" s="10" t="s">
        <v>41</v>
      </c>
      <c r="F18" s="10"/>
      <c r="G18" s="10"/>
      <c r="H18" s="10">
        <v>1</v>
      </c>
      <c r="I18" s="10">
        <v>9</v>
      </c>
      <c r="J18" s="10">
        <v>1</v>
      </c>
      <c r="K18" s="11">
        <f t="shared" si="6"/>
        <v>8.9368884264722901</v>
      </c>
      <c r="L18" s="11">
        <f t="shared" si="0"/>
        <v>369.34209241521057</v>
      </c>
      <c r="M18" s="11">
        <f t="shared" si="1"/>
        <v>9.7431142253906149</v>
      </c>
      <c r="N18" s="11">
        <f t="shared" si="2"/>
        <v>1.44</v>
      </c>
      <c r="O18" s="11">
        <f t="shared" si="3"/>
        <v>1.5150000000000001</v>
      </c>
      <c r="P18" s="10">
        <f t="shared" si="4"/>
        <v>1.0028899511460641</v>
      </c>
      <c r="Q18" s="12">
        <f t="shared" si="5"/>
        <v>5623.5384267301706</v>
      </c>
    </row>
    <row r="19" spans="1:17" ht="16.5" customHeight="1">
      <c r="A19" s="10" t="s">
        <v>53</v>
      </c>
      <c r="B19" s="10">
        <v>2270</v>
      </c>
      <c r="C19" s="10">
        <v>134344</v>
      </c>
      <c r="D19" s="10">
        <v>2270</v>
      </c>
      <c r="E19" s="10" t="s">
        <v>41</v>
      </c>
      <c r="F19" s="10"/>
      <c r="G19" s="10"/>
      <c r="H19" s="10"/>
      <c r="I19" s="10">
        <v>10</v>
      </c>
      <c r="J19" s="10">
        <v>1</v>
      </c>
      <c r="K19" s="11">
        <f t="shared" si="6"/>
        <v>8.2629223090125095</v>
      </c>
      <c r="L19" s="11">
        <f t="shared" si="0"/>
        <v>408.12346487497308</v>
      </c>
      <c r="M19" s="11">
        <f t="shared" si="1"/>
        <v>9.9866920810253816</v>
      </c>
      <c r="N19" s="11">
        <f t="shared" si="2"/>
        <v>1.44</v>
      </c>
      <c r="O19" s="11">
        <f t="shared" si="3"/>
        <v>1.53</v>
      </c>
      <c r="P19" s="10">
        <f t="shared" si="4"/>
        <v>1.0028899511460641</v>
      </c>
      <c r="Q19" s="12">
        <f t="shared" si="5"/>
        <v>6088.2070379483484</v>
      </c>
    </row>
    <row r="20" spans="1:17" ht="16.5" customHeight="1">
      <c r="A20" s="10" t="s">
        <v>54</v>
      </c>
      <c r="B20" s="10">
        <v>2355</v>
      </c>
      <c r="C20" s="10">
        <v>146448</v>
      </c>
      <c r="D20" s="10">
        <v>2360</v>
      </c>
      <c r="E20" s="10" t="s">
        <v>41</v>
      </c>
      <c r="F20" s="10"/>
      <c r="G20" s="10"/>
      <c r="H20" s="10"/>
      <c r="I20" s="10">
        <v>10</v>
      </c>
      <c r="J20" s="10">
        <v>1</v>
      </c>
      <c r="K20" s="11">
        <f t="shared" si="6"/>
        <v>7.6031295681956435</v>
      </c>
      <c r="L20" s="11">
        <f t="shared" si="0"/>
        <v>446.75675027582241</v>
      </c>
      <c r="M20" s="11">
        <f t="shared" si="1"/>
        <v>9.9866920810253816</v>
      </c>
      <c r="N20" s="11">
        <f t="shared" si="2"/>
        <v>1.44</v>
      </c>
      <c r="O20" s="11">
        <f t="shared" si="3"/>
        <v>1.55</v>
      </c>
      <c r="P20" s="10">
        <f t="shared" si="4"/>
        <v>1.0028899511460641</v>
      </c>
      <c r="Q20" s="12">
        <f t="shared" si="5"/>
        <v>6551.101307423568</v>
      </c>
    </row>
    <row r="21" spans="1:17" ht="16.5" customHeight="1">
      <c r="A21" s="10" t="s">
        <v>55</v>
      </c>
      <c r="B21" s="10">
        <v>2440</v>
      </c>
      <c r="C21" s="10">
        <v>158269</v>
      </c>
      <c r="D21" s="10">
        <v>2440</v>
      </c>
      <c r="E21" s="10" t="s">
        <v>41</v>
      </c>
      <c r="F21" s="10"/>
      <c r="G21" s="10"/>
      <c r="H21" s="10"/>
      <c r="I21" s="10">
        <v>10</v>
      </c>
      <c r="J21" s="10">
        <v>1</v>
      </c>
      <c r="K21" s="11">
        <f t="shared" si="6"/>
        <v>7.0359750412668731</v>
      </c>
      <c r="L21" s="11">
        <f t="shared" si="0"/>
        <v>485.22641876167114</v>
      </c>
      <c r="M21" s="11">
        <f t="shared" si="1"/>
        <v>9.9866920810253816</v>
      </c>
      <c r="N21" s="11">
        <f t="shared" si="2"/>
        <v>1.44</v>
      </c>
      <c r="O21" s="11">
        <f t="shared" si="3"/>
        <v>1.5649999999999999</v>
      </c>
      <c r="P21" s="10">
        <f t="shared" si="4"/>
        <v>1.0028899511460641</v>
      </c>
      <c r="Q21" s="12">
        <f t="shared" si="5"/>
        <v>7012.0351603419986</v>
      </c>
    </row>
    <row r="22" spans="1:17" ht="16.5" customHeight="1">
      <c r="A22" s="10" t="s">
        <v>56</v>
      </c>
      <c r="B22" s="10">
        <v>2550</v>
      </c>
      <c r="C22" s="10">
        <v>193306</v>
      </c>
      <c r="D22" s="10">
        <v>2550</v>
      </c>
      <c r="E22" s="10" t="s">
        <v>48</v>
      </c>
      <c r="F22" s="10"/>
      <c r="G22" s="10"/>
      <c r="H22" s="10"/>
      <c r="I22" s="10">
        <v>10</v>
      </c>
      <c r="J22" s="10">
        <v>1</v>
      </c>
      <c r="K22" s="11">
        <f t="shared" si="6"/>
        <v>13.224729342286112</v>
      </c>
      <c r="L22" s="11">
        <f t="shared" si="0"/>
        <v>562.62102868245609</v>
      </c>
      <c r="M22" s="11">
        <f t="shared" si="1"/>
        <v>9.9866920810253816</v>
      </c>
      <c r="N22" s="11">
        <f t="shared" si="2"/>
        <v>1.5</v>
      </c>
      <c r="O22" s="11">
        <f t="shared" si="3"/>
        <v>1.62</v>
      </c>
      <c r="P22" s="10">
        <f t="shared" si="4"/>
        <v>1.0033028013097873</v>
      </c>
      <c r="Q22" s="12">
        <f t="shared" si="5"/>
        <v>7939.3578316831663</v>
      </c>
    </row>
    <row r="23" spans="1:17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ht="16.5" customHeight="1">
      <c r="A24" s="10" t="s">
        <v>58</v>
      </c>
      <c r="B24" s="10"/>
      <c r="C24" s="10" t="s">
        <v>60</v>
      </c>
      <c r="D24" s="10" t="s">
        <v>81</v>
      </c>
      <c r="E24" s="10" t="s">
        <v>68</v>
      </c>
      <c r="F24" s="10" t="s">
        <v>61</v>
      </c>
      <c r="G24" s="10" t="s">
        <v>34</v>
      </c>
      <c r="H24" s="10" t="s">
        <v>33</v>
      </c>
      <c r="I24" s="10" t="s">
        <v>82</v>
      </c>
      <c r="J24" s="10" t="s">
        <v>48</v>
      </c>
      <c r="K24" s="10" t="s">
        <v>56</v>
      </c>
      <c r="L24" s="10"/>
      <c r="M24" s="10"/>
      <c r="N24" s="10"/>
      <c r="O24" s="10"/>
      <c r="P24" s="10"/>
      <c r="Q24" s="10"/>
    </row>
    <row r="25" spans="1:17" ht="16.5" customHeight="1">
      <c r="A25" s="10" t="s">
        <v>83</v>
      </c>
      <c r="B25" s="10"/>
      <c r="C25" s="10">
        <v>158269</v>
      </c>
      <c r="D25" s="10">
        <v>2440</v>
      </c>
      <c r="E25" s="10" t="s">
        <v>41</v>
      </c>
      <c r="F25" s="10">
        <v>6679</v>
      </c>
      <c r="G25" s="10">
        <v>0</v>
      </c>
      <c r="H25" s="10">
        <v>0</v>
      </c>
      <c r="I25" s="10">
        <v>0</v>
      </c>
      <c r="J25" s="10">
        <v>10</v>
      </c>
      <c r="K25" s="10">
        <v>1</v>
      </c>
      <c r="L25" s="10"/>
      <c r="M25" s="10"/>
      <c r="N25" s="10"/>
      <c r="O25" s="10"/>
      <c r="P25" s="10"/>
      <c r="Q25" s="10"/>
    </row>
    <row r="27" spans="1:17" ht="16.5" customHeight="1">
      <c r="A27" s="2"/>
      <c r="B27" s="2"/>
    </row>
  </sheetData>
  <autoFilter ref="A1:J22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selection activeCell="E2" sqref="E2"/>
    </sheetView>
  </sheetViews>
  <sheetFormatPr defaultRowHeight="15"/>
  <cols>
    <col min="1" max="1" width="12.85546875" customWidth="1"/>
    <col min="2" max="2" width="19.42578125" bestFit="1" customWidth="1"/>
    <col min="3" max="3" width="21.85546875" bestFit="1" customWidth="1"/>
    <col min="4" max="4" width="11.42578125" bestFit="1" customWidth="1"/>
  </cols>
  <sheetData>
    <row r="1" spans="1:9" ht="16.5" customHeight="1">
      <c r="A1" s="1" t="s">
        <v>0</v>
      </c>
      <c r="B1" s="3" t="s">
        <v>2</v>
      </c>
      <c r="C1" s="3" t="s">
        <v>67</v>
      </c>
      <c r="D1" s="3" t="s">
        <v>68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</row>
    <row r="2" spans="1:9" ht="16.5" customHeight="1">
      <c r="A2" t="s">
        <v>32</v>
      </c>
      <c r="B2">
        <v>7439</v>
      </c>
      <c r="C2">
        <v>760</v>
      </c>
      <c r="D2" s="2" t="s">
        <v>33</v>
      </c>
      <c r="E2" s="4">
        <f>0</f>
        <v>0</v>
      </c>
      <c r="F2" s="4" t="e">
        <f>(#REF!/#REF!-1)*100</f>
        <v>#REF!</v>
      </c>
      <c r="G2" s="4" t="e">
        <f>POWER(1.13,N(#REF!))*POWER(1.17,N(#REF!))*POWER(1.2,N(#REF!))*POWER(1.23,N(#REF!))*POWER(1.26,N(#REF!))</f>
        <v>#REF!</v>
      </c>
      <c r="H2" s="4">
        <f t="shared" ref="H2:H22" si="0">IF(D2="유니크",1.38,IF(D2="레전더리",1.44,IF(D2="에픽",1.5,IF(D2="태초",1.57,1))))</f>
        <v>1.38</v>
      </c>
      <c r="I2" s="4">
        <f t="shared" ref="I2:I22" si="1">1+IF(C2&gt;=2550,62+INT((C2-2550)/25)*0.5,IF(C2&gt;=2100,50+INT((C2-2100)/25)*0.5,IF(C2&gt;=1650,39+INT((C2-1650)/25)*0.5,IF(C2&gt;=1200,28+INT((C2-1200)/25)*0.5,IF(C2&gt;=750,17+INT((C2-750)/25)*0.5,0)))))/100</f>
        <v>1.17</v>
      </c>
    </row>
    <row r="3" spans="1:9" ht="16.5" customHeight="1">
      <c r="A3" t="s">
        <v>35</v>
      </c>
      <c r="B3">
        <v>7534</v>
      </c>
      <c r="C3">
        <v>830</v>
      </c>
      <c r="D3" s="2" t="s">
        <v>33</v>
      </c>
      <c r="E3" s="4" t="e">
        <f>(#REF!/#REF!-1)*100</f>
        <v>#REF!</v>
      </c>
      <c r="F3" s="4" t="e">
        <f>(#REF!/#REF!-1)*100</f>
        <v>#REF!</v>
      </c>
      <c r="G3" s="4" t="e">
        <f>POWER(1.13,N(#REF!))*POWER(1.17,N(#REF!))*POWER(1.2,N(#REF!))*POWER(1.23,N(#REF!))*POWER(1.26,N(#REF!))</f>
        <v>#REF!</v>
      </c>
      <c r="H3" s="4">
        <f t="shared" si="0"/>
        <v>1.38</v>
      </c>
      <c r="I3" s="4">
        <f t="shared" si="1"/>
        <v>1.1850000000000001</v>
      </c>
    </row>
    <row r="4" spans="1:9" ht="16.5" customHeight="1">
      <c r="A4" t="s">
        <v>36</v>
      </c>
      <c r="B4">
        <v>7630</v>
      </c>
      <c r="C4">
        <v>910</v>
      </c>
      <c r="D4" s="2" t="s">
        <v>33</v>
      </c>
      <c r="E4" s="4" t="e">
        <f>(#REF!/#REF!-1)*100</f>
        <v>#REF!</v>
      </c>
      <c r="F4" s="4" t="e">
        <f>(#REF!/#REF!-1)*100</f>
        <v>#REF!</v>
      </c>
      <c r="G4" s="4" t="e">
        <f>POWER(1.13,N(#REF!))*POWER(1.17,N(#REF!))*POWER(1.2,N(#REF!))*POWER(1.23,N(#REF!))*POWER(1.26,N(#REF!))</f>
        <v>#REF!</v>
      </c>
      <c r="H4" s="4">
        <f t="shared" si="0"/>
        <v>1.38</v>
      </c>
      <c r="I4" s="4">
        <f t="shared" si="1"/>
        <v>1.2</v>
      </c>
    </row>
    <row r="5" spans="1:9" ht="16.5" customHeight="1">
      <c r="A5" t="s">
        <v>37</v>
      </c>
      <c r="B5">
        <v>7725</v>
      </c>
      <c r="C5">
        <v>990</v>
      </c>
      <c r="D5" s="2" t="s">
        <v>33</v>
      </c>
      <c r="E5" s="4" t="e">
        <f>(#REF!/#REF!-1)*100</f>
        <v>#REF!</v>
      </c>
      <c r="F5" s="4" t="e">
        <f>(#REF!/#REF!-1)*100</f>
        <v>#REF!</v>
      </c>
      <c r="G5" s="4" t="e">
        <f>POWER(1.13,N(#REF!))*POWER(1.17,N(#REF!))*POWER(1.2,N(#REF!))*POWER(1.23,N(#REF!))*POWER(1.26,N(#REF!))</f>
        <v>#REF!</v>
      </c>
      <c r="H5" s="4">
        <f t="shared" si="0"/>
        <v>1.38</v>
      </c>
      <c r="I5" s="4">
        <f t="shared" si="1"/>
        <v>1.2150000000000001</v>
      </c>
    </row>
    <row r="6" spans="1:9" ht="16.5" customHeight="1">
      <c r="A6" t="s">
        <v>38</v>
      </c>
      <c r="B6">
        <v>7820</v>
      </c>
      <c r="C6">
        <v>1070</v>
      </c>
      <c r="D6" s="2" t="s">
        <v>33</v>
      </c>
      <c r="E6" s="4" t="e">
        <f>(#REF!/#REF!-1)*100</f>
        <v>#REF!</v>
      </c>
      <c r="F6" s="4" t="e">
        <f>(#REF!/#REF!-1)*100</f>
        <v>#REF!</v>
      </c>
      <c r="G6" s="4" t="e">
        <f>POWER(1.13,N(#REF!))*POWER(1.17,N(#REF!))*POWER(1.2,N(#REF!))*POWER(1.23,N(#REF!))*POWER(1.26,N(#REF!))</f>
        <v>#REF!</v>
      </c>
      <c r="H6" s="4">
        <f t="shared" si="0"/>
        <v>1.38</v>
      </c>
      <c r="I6" s="4">
        <f t="shared" si="1"/>
        <v>1.23</v>
      </c>
    </row>
    <row r="7" spans="1:9" ht="16.5" customHeight="1">
      <c r="A7" t="s">
        <v>39</v>
      </c>
      <c r="B7">
        <v>16477</v>
      </c>
      <c r="C7">
        <v>1200</v>
      </c>
      <c r="D7" s="2" t="s">
        <v>33</v>
      </c>
      <c r="E7" s="4" t="e">
        <f>(#REF!/#REF!-1)*100</f>
        <v>#REF!</v>
      </c>
      <c r="F7" s="4" t="e">
        <f>(#REF!/#REF!-1)*100</f>
        <v>#REF!</v>
      </c>
      <c r="G7" s="4" t="e">
        <f>POWER(1.13,N(#REF!))*POWER(1.17,N(#REF!))*POWER(1.2,N(#REF!))*POWER(1.23,N(#REF!))*POWER(1.26,N(#REF!))</f>
        <v>#REF!</v>
      </c>
      <c r="H7" s="4">
        <f t="shared" si="0"/>
        <v>1.38</v>
      </c>
      <c r="I7" s="4">
        <f t="shared" si="1"/>
        <v>1.28</v>
      </c>
    </row>
    <row r="8" spans="1:9" ht="16.5" customHeight="1">
      <c r="A8" t="s">
        <v>40</v>
      </c>
      <c r="B8">
        <v>20179</v>
      </c>
      <c r="C8">
        <v>1290</v>
      </c>
      <c r="D8" s="2" t="s">
        <v>41</v>
      </c>
      <c r="E8" s="4" t="e">
        <f>(#REF!/#REF!-1)*100</f>
        <v>#REF!</v>
      </c>
      <c r="F8" s="4" t="e">
        <f>(#REF!/#REF!-1)*100</f>
        <v>#REF!</v>
      </c>
      <c r="G8" s="4" t="e">
        <f>POWER(1.13,N(#REF!))*POWER(1.17,N(#REF!))*POWER(1.2,N(#REF!))*POWER(1.23,N(#REF!))*POWER(1.26,N(#REF!))</f>
        <v>#REF!</v>
      </c>
      <c r="H8" s="4">
        <f t="shared" si="0"/>
        <v>1.44</v>
      </c>
      <c r="I8" s="4">
        <f t="shared" si="1"/>
        <v>1.2949999999999999</v>
      </c>
    </row>
    <row r="9" spans="1:9" ht="16.5" customHeight="1">
      <c r="A9" t="s">
        <v>42</v>
      </c>
      <c r="B9">
        <v>23235</v>
      </c>
      <c r="C9">
        <v>1370</v>
      </c>
      <c r="D9" s="2" t="s">
        <v>41</v>
      </c>
      <c r="E9" s="4" t="e">
        <f>(#REF!/#REF!-1)*100</f>
        <v>#REF!</v>
      </c>
      <c r="F9" s="4" t="e">
        <f>(#REF!/#REF!-1)*100</f>
        <v>#REF!</v>
      </c>
      <c r="G9" s="4" t="e">
        <f>POWER(1.13,N(#REF!))*POWER(1.17,N(#REF!))*POWER(1.2,N(#REF!))*POWER(1.23,N(#REF!))*POWER(1.26,N(#REF!))</f>
        <v>#REF!</v>
      </c>
      <c r="H9" s="4">
        <f t="shared" si="0"/>
        <v>1.44</v>
      </c>
      <c r="I9" s="4">
        <f t="shared" si="1"/>
        <v>1.31</v>
      </c>
    </row>
    <row r="10" spans="1:9" ht="16.5" customHeight="1">
      <c r="A10" t="s">
        <v>43</v>
      </c>
      <c r="B10">
        <v>26448</v>
      </c>
      <c r="C10">
        <v>1460</v>
      </c>
      <c r="D10" s="2" t="s">
        <v>41</v>
      </c>
      <c r="E10" s="4" t="e">
        <f>(#REF!/#REF!-1)*100</f>
        <v>#REF!</v>
      </c>
      <c r="F10" s="4" t="e">
        <f>(#REF!/#REF!-1)*100</f>
        <v>#REF!</v>
      </c>
      <c r="G10" s="4" t="e">
        <f>POWER(1.13,N(#REF!))*POWER(1.17,N(#REF!))*POWER(1.2,N(#REF!))*POWER(1.23,N(#REF!))*POWER(1.26,N(#REF!))</f>
        <v>#REF!</v>
      </c>
      <c r="H10" s="4">
        <f t="shared" si="0"/>
        <v>1.44</v>
      </c>
      <c r="I10" s="4">
        <f t="shared" si="1"/>
        <v>1.33</v>
      </c>
    </row>
    <row r="11" spans="1:9" ht="16.5" customHeight="1">
      <c r="A11" t="s">
        <v>44</v>
      </c>
      <c r="B11">
        <v>29626</v>
      </c>
      <c r="C11">
        <v>1540</v>
      </c>
      <c r="D11" s="2" t="s">
        <v>41</v>
      </c>
      <c r="E11" s="4" t="e">
        <f>(#REF!/#REF!-1)*100</f>
        <v>#REF!</v>
      </c>
      <c r="F11" s="4" t="e">
        <f>(#REF!/#REF!-1)*100</f>
        <v>#REF!</v>
      </c>
      <c r="G11" s="4" t="e">
        <f>POWER(1.13,N(#REF!))*POWER(1.17,N(#REF!))*POWER(1.2,N(#REF!))*POWER(1.23,N(#REF!))*POWER(1.26,N(#REF!))</f>
        <v>#REF!</v>
      </c>
      <c r="H11" s="4">
        <f t="shared" si="0"/>
        <v>1.44</v>
      </c>
      <c r="I11" s="4">
        <f t="shared" si="1"/>
        <v>1.345</v>
      </c>
    </row>
    <row r="12" spans="1:9" ht="16.5" customHeight="1">
      <c r="A12" t="s">
        <v>45</v>
      </c>
      <c r="B12">
        <v>38681</v>
      </c>
      <c r="C12">
        <v>1650</v>
      </c>
      <c r="D12" s="2" t="s">
        <v>41</v>
      </c>
      <c r="E12" s="4" t="e">
        <f>(#REF!/#REF!-1)*100</f>
        <v>#REF!</v>
      </c>
      <c r="F12" s="4" t="e">
        <f>(#REF!/#REF!-1)*100</f>
        <v>#REF!</v>
      </c>
      <c r="G12" s="4" t="e">
        <f>POWER(1.13,N(#REF!))*POWER(1.17,N(#REF!))*POWER(1.2,N(#REF!))*POWER(1.23,N(#REF!))*POWER(1.26,N(#REF!))</f>
        <v>#REF!</v>
      </c>
      <c r="H12" s="4">
        <f t="shared" si="0"/>
        <v>1.44</v>
      </c>
      <c r="I12" s="4">
        <f t="shared" si="1"/>
        <v>1.3900000000000001</v>
      </c>
    </row>
    <row r="13" spans="1:9" ht="16.5" customHeight="1">
      <c r="A13" t="s">
        <v>46</v>
      </c>
      <c r="B13">
        <v>52879</v>
      </c>
      <c r="C13">
        <v>1740</v>
      </c>
      <c r="D13" s="2" t="s">
        <v>41</v>
      </c>
      <c r="E13" s="4" t="e">
        <f>(#REF!/#REF!-1)*100</f>
        <v>#REF!</v>
      </c>
      <c r="F13" s="4" t="e">
        <f>(#REF!/#REF!-1)*100</f>
        <v>#REF!</v>
      </c>
      <c r="G13" s="4" t="e">
        <f>POWER(1.13,N(#REF!))*POWER(1.17,N(#REF!))*POWER(1.2,N(#REF!))*POWER(1.23,N(#REF!))*POWER(1.26,N(#REF!))</f>
        <v>#REF!</v>
      </c>
      <c r="H13" s="4">
        <f t="shared" si="0"/>
        <v>1.44</v>
      </c>
      <c r="I13" s="4">
        <f t="shared" si="1"/>
        <v>1.405</v>
      </c>
    </row>
    <row r="14" spans="1:9" ht="16.5" customHeight="1">
      <c r="A14" t="s">
        <v>47</v>
      </c>
      <c r="B14">
        <v>58464</v>
      </c>
      <c r="C14">
        <v>1820</v>
      </c>
      <c r="D14" s="2" t="s">
        <v>41</v>
      </c>
      <c r="E14" s="4" t="e">
        <f>(#REF!/#REF!-1)*100</f>
        <v>#REF!</v>
      </c>
      <c r="F14" s="4" t="e">
        <f>(#REF!/#REF!-1)*100</f>
        <v>#REF!</v>
      </c>
      <c r="G14" s="4" t="e">
        <f>POWER(1.13,N(#REF!))*POWER(1.17,N(#REF!))*POWER(1.2,N(#REF!))*POWER(1.23,N(#REF!))*POWER(1.26,N(#REF!))</f>
        <v>#REF!</v>
      </c>
      <c r="H14" s="4">
        <f t="shared" si="0"/>
        <v>1.44</v>
      </c>
      <c r="I14" s="4">
        <f t="shared" si="1"/>
        <v>1.42</v>
      </c>
    </row>
    <row r="15" spans="1:9" ht="16.5" customHeight="1">
      <c r="A15" t="s">
        <v>49</v>
      </c>
      <c r="B15">
        <v>64395</v>
      </c>
      <c r="C15">
        <v>1910</v>
      </c>
      <c r="D15" s="2" t="s">
        <v>41</v>
      </c>
      <c r="E15" s="4" t="e">
        <f>(#REF!/#REF!-1)*100</f>
        <v>#REF!</v>
      </c>
      <c r="F15" s="4" t="e">
        <f>(#REF!/#REF!-1)*100</f>
        <v>#REF!</v>
      </c>
      <c r="G15" s="4" t="e">
        <f>POWER(1.13,N(#REF!))*POWER(1.17,N(#REF!))*POWER(1.2,N(#REF!))*POWER(1.23,N(#REF!))*POWER(1.26,N(#REF!))</f>
        <v>#REF!</v>
      </c>
      <c r="H15" s="4">
        <f t="shared" si="0"/>
        <v>1.44</v>
      </c>
      <c r="I15" s="4">
        <f t="shared" si="1"/>
        <v>1.44</v>
      </c>
    </row>
    <row r="16" spans="1:9" ht="16.5" customHeight="1">
      <c r="A16" t="s">
        <v>50</v>
      </c>
      <c r="B16">
        <v>70249</v>
      </c>
      <c r="C16">
        <v>1990</v>
      </c>
      <c r="D16" s="2" t="s">
        <v>41</v>
      </c>
      <c r="E16" s="4" t="e">
        <f>(#REF!/#REF!-1)*100</f>
        <v>#REF!</v>
      </c>
      <c r="F16" s="4" t="e">
        <f>(#REF!/#REF!-1)*100</f>
        <v>#REF!</v>
      </c>
      <c r="G16" s="4" t="e">
        <f>POWER(1.13,N(#REF!))*POWER(1.17,N(#REF!))*POWER(1.2,N(#REF!))*POWER(1.23,N(#REF!))*POWER(1.26,N(#REF!))</f>
        <v>#REF!</v>
      </c>
      <c r="H16" s="4">
        <f t="shared" si="0"/>
        <v>1.44</v>
      </c>
      <c r="I16" s="4">
        <f t="shared" si="1"/>
        <v>1.4550000000000001</v>
      </c>
    </row>
    <row r="17" spans="1:9" ht="16.5" customHeight="1">
      <c r="A17" t="s">
        <v>51</v>
      </c>
      <c r="B17">
        <v>91713</v>
      </c>
      <c r="C17">
        <v>2100</v>
      </c>
      <c r="D17" s="2" t="s">
        <v>41</v>
      </c>
      <c r="E17" s="4" t="e">
        <f>(#REF!/#REF!-1)*100</f>
        <v>#REF!</v>
      </c>
      <c r="F17" s="4" t="e">
        <f>(#REF!/#REF!-1)*100</f>
        <v>#REF!</v>
      </c>
      <c r="G17" s="4" t="e">
        <f>POWER(1.13,N(#REF!))*POWER(1.17,N(#REF!))*POWER(1.2,N(#REF!))*POWER(1.23,N(#REF!))*POWER(1.26,N(#REF!))</f>
        <v>#REF!</v>
      </c>
      <c r="H17" s="4">
        <f t="shared" si="0"/>
        <v>1.44</v>
      </c>
      <c r="I17" s="4">
        <f t="shared" si="1"/>
        <v>1.5</v>
      </c>
    </row>
    <row r="18" spans="1:9" ht="16.5" customHeight="1">
      <c r="A18" t="s">
        <v>52</v>
      </c>
      <c r="B18">
        <v>119877</v>
      </c>
      <c r="C18">
        <v>2190</v>
      </c>
      <c r="D18" s="2" t="s">
        <v>41</v>
      </c>
      <c r="E18" s="4" t="e">
        <f>(#REF!/#REF!-1)*100</f>
        <v>#REF!</v>
      </c>
      <c r="F18" s="4" t="e">
        <f>(#REF!/#REF!-1)*100</f>
        <v>#REF!</v>
      </c>
      <c r="G18" s="4" t="e">
        <f>POWER(1.13,N(#REF!))*POWER(1.17,N(#REF!))*POWER(1.2,N(#REF!))*POWER(1.23,N(#REF!))*POWER(1.26,N(#REF!))</f>
        <v>#REF!</v>
      </c>
      <c r="H18" s="4">
        <f t="shared" si="0"/>
        <v>1.44</v>
      </c>
      <c r="I18" s="4">
        <f t="shared" si="1"/>
        <v>1.5150000000000001</v>
      </c>
    </row>
    <row r="19" spans="1:9" ht="16.5" customHeight="1">
      <c r="A19" t="s">
        <v>53</v>
      </c>
      <c r="B19">
        <v>134344</v>
      </c>
      <c r="C19">
        <v>2270</v>
      </c>
      <c r="D19" s="2" t="s">
        <v>41</v>
      </c>
      <c r="E19" s="4" t="e">
        <f>(#REF!/#REF!-1)*100</f>
        <v>#REF!</v>
      </c>
      <c r="F19" s="4" t="e">
        <f>(#REF!/#REF!-1)*100</f>
        <v>#REF!</v>
      </c>
      <c r="G19" s="4" t="e">
        <f>POWER(1.13,N(#REF!))*POWER(1.17,N(#REF!))*POWER(1.2,N(#REF!))*POWER(1.23,N(#REF!))*POWER(1.26,N(#REF!))</f>
        <v>#REF!</v>
      </c>
      <c r="H19" s="4">
        <f t="shared" si="0"/>
        <v>1.44</v>
      </c>
      <c r="I19" s="4">
        <f t="shared" si="1"/>
        <v>1.53</v>
      </c>
    </row>
    <row r="20" spans="1:9" ht="16.5" customHeight="1">
      <c r="A20" t="s">
        <v>54</v>
      </c>
      <c r="B20">
        <v>146448</v>
      </c>
      <c r="C20">
        <v>2360</v>
      </c>
      <c r="D20" s="2" t="s">
        <v>41</v>
      </c>
      <c r="E20" s="4" t="e">
        <f>(#REF!/#REF!-1)*100</f>
        <v>#REF!</v>
      </c>
      <c r="F20" s="4" t="e">
        <f>(#REF!/#REF!-1)*100</f>
        <v>#REF!</v>
      </c>
      <c r="G20" s="4" t="e">
        <f>POWER(1.13,N(#REF!))*POWER(1.17,N(#REF!))*POWER(1.2,N(#REF!))*POWER(1.23,N(#REF!))*POWER(1.26,N(#REF!))</f>
        <v>#REF!</v>
      </c>
      <c r="H20" s="4">
        <f t="shared" si="0"/>
        <v>1.44</v>
      </c>
      <c r="I20" s="4">
        <f t="shared" si="1"/>
        <v>1.55</v>
      </c>
    </row>
    <row r="21" spans="1:9" ht="16.5" customHeight="1">
      <c r="A21" t="s">
        <v>55</v>
      </c>
      <c r="B21">
        <v>158269</v>
      </c>
      <c r="C21">
        <v>2440</v>
      </c>
      <c r="D21" s="2" t="s">
        <v>41</v>
      </c>
      <c r="E21" s="4" t="e">
        <f>(#REF!/#REF!-1)*100</f>
        <v>#REF!</v>
      </c>
      <c r="F21" s="4" t="e">
        <f>(#REF!/#REF!-1)*100</f>
        <v>#REF!</v>
      </c>
      <c r="G21" s="4" t="e">
        <f>POWER(1.13,N(#REF!))*POWER(1.17,N(#REF!))*POWER(1.2,N(#REF!))*POWER(1.23,N(#REF!))*POWER(1.26,N(#REF!))</f>
        <v>#REF!</v>
      </c>
      <c r="H21" s="4">
        <f t="shared" si="0"/>
        <v>1.44</v>
      </c>
      <c r="I21" s="4">
        <f t="shared" si="1"/>
        <v>1.5649999999999999</v>
      </c>
    </row>
    <row r="22" spans="1:9" ht="16.5" customHeight="1">
      <c r="A22" s="2" t="s">
        <v>56</v>
      </c>
      <c r="B22">
        <v>193306</v>
      </c>
      <c r="C22">
        <v>2550</v>
      </c>
      <c r="D22" s="2" t="s">
        <v>48</v>
      </c>
      <c r="E22" s="4" t="e">
        <f>(#REF!/#REF!-1)*100</f>
        <v>#REF!</v>
      </c>
      <c r="F22" s="4" t="e">
        <f>(#REF!/#REF!-1)*100</f>
        <v>#REF!</v>
      </c>
      <c r="G22" s="4" t="e">
        <f>POWER(1.13,N(#REF!))*POWER(1.17,N(#REF!))*POWER(1.2,N(#REF!))*POWER(1.23,N(#REF!))*POWER(1.26,N(#REF!))</f>
        <v>#REF!</v>
      </c>
      <c r="H22" s="4">
        <f t="shared" si="0"/>
        <v>1.5</v>
      </c>
      <c r="I22" s="4">
        <f t="shared" si="1"/>
        <v>1.62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8"/>
  <sheetViews>
    <sheetView workbookViewId="0">
      <selection activeCell="B43" sqref="B43"/>
    </sheetView>
  </sheetViews>
  <sheetFormatPr defaultRowHeight="15"/>
  <cols>
    <col min="1" max="1" width="16.7109375" bestFit="1" customWidth="1"/>
    <col min="2" max="2" width="12.7109375" bestFit="1" customWidth="1"/>
    <col min="3" max="3" width="8.140625" bestFit="1" customWidth="1"/>
    <col min="4" max="4" width="10.28515625" bestFit="1" customWidth="1"/>
    <col min="6" max="6" width="16.7109375" bestFit="1" customWidth="1"/>
    <col min="7" max="7" width="12.7109375" bestFit="1" customWidth="1"/>
    <col min="8" max="8" width="8.140625" bestFit="1" customWidth="1"/>
    <col min="9" max="9" width="10.28515625" bestFit="1" customWidth="1"/>
    <col min="10" max="10" width="12.7109375" bestFit="1" customWidth="1"/>
  </cols>
  <sheetData>
    <row r="1" spans="1:18" ht="16.5" customHeight="1">
      <c r="A1" s="2" t="s">
        <v>4</v>
      </c>
      <c r="B1" s="2" t="s">
        <v>15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J1" s="2" t="s">
        <v>9</v>
      </c>
      <c r="K1" s="2" t="s">
        <v>15</v>
      </c>
      <c r="L1" s="2" t="s">
        <v>84</v>
      </c>
      <c r="M1" s="2" t="s">
        <v>85</v>
      </c>
      <c r="N1" s="2" t="s">
        <v>90</v>
      </c>
      <c r="O1" s="2" t="s">
        <v>86</v>
      </c>
      <c r="P1" s="2" t="s">
        <v>87</v>
      </c>
      <c r="Q1" s="2" t="s">
        <v>88</v>
      </c>
      <c r="R1" s="2" t="s">
        <v>89</v>
      </c>
    </row>
    <row r="2" spans="1:18" ht="16.5" customHeight="1">
      <c r="A2" s="2" t="s">
        <v>34</v>
      </c>
      <c r="B2">
        <v>2100</v>
      </c>
      <c r="C2">
        <v>50</v>
      </c>
      <c r="E2">
        <v>140</v>
      </c>
      <c r="F2">
        <v>140</v>
      </c>
      <c r="G2">
        <v>140</v>
      </c>
      <c r="H2">
        <v>140</v>
      </c>
      <c r="J2" s="2" t="s">
        <v>34</v>
      </c>
      <c r="K2">
        <v>2100</v>
      </c>
      <c r="L2" s="6">
        <v>40</v>
      </c>
      <c r="M2">
        <v>40</v>
      </c>
      <c r="O2">
        <v>100</v>
      </c>
      <c r="P2">
        <v>149</v>
      </c>
      <c r="Q2">
        <v>100</v>
      </c>
      <c r="R2">
        <v>220</v>
      </c>
    </row>
    <row r="3" spans="1:18" ht="16.5" customHeight="1">
      <c r="A3" s="2" t="s">
        <v>33</v>
      </c>
      <c r="B3">
        <v>3189</v>
      </c>
      <c r="C3">
        <v>53</v>
      </c>
      <c r="E3">
        <v>142</v>
      </c>
      <c r="F3">
        <v>142</v>
      </c>
      <c r="G3">
        <v>142</v>
      </c>
      <c r="H3">
        <v>142</v>
      </c>
      <c r="J3" s="2" t="s">
        <v>33</v>
      </c>
      <c r="K3">
        <v>3189</v>
      </c>
      <c r="L3">
        <v>42.8</v>
      </c>
      <c r="M3">
        <v>40</v>
      </c>
      <c r="O3">
        <v>100</v>
      </c>
      <c r="P3">
        <v>151</v>
      </c>
      <c r="Q3">
        <v>100</v>
      </c>
      <c r="R3">
        <v>226</v>
      </c>
    </row>
    <row r="4" spans="1:18" ht="16.5" customHeight="1">
      <c r="A4" s="2" t="s">
        <v>41</v>
      </c>
      <c r="B4">
        <v>3189</v>
      </c>
      <c r="C4">
        <v>54.6</v>
      </c>
      <c r="E4">
        <v>143</v>
      </c>
      <c r="F4">
        <v>143</v>
      </c>
      <c r="G4">
        <v>143</v>
      </c>
      <c r="H4">
        <v>143</v>
      </c>
      <c r="J4" s="2" t="s">
        <v>41</v>
      </c>
      <c r="K4">
        <v>3189</v>
      </c>
      <c r="L4">
        <v>44.3</v>
      </c>
      <c r="M4">
        <v>40</v>
      </c>
      <c r="O4">
        <v>100</v>
      </c>
      <c r="P4">
        <v>152</v>
      </c>
      <c r="Q4">
        <v>100</v>
      </c>
      <c r="R4">
        <v>229</v>
      </c>
    </row>
    <row r="5" spans="1:18" ht="16.5" customHeight="1">
      <c r="A5" s="2" t="s">
        <v>48</v>
      </c>
      <c r="B5">
        <v>3189</v>
      </c>
      <c r="C5">
        <v>56.1</v>
      </c>
      <c r="E5">
        <v>144</v>
      </c>
      <c r="F5">
        <v>144</v>
      </c>
      <c r="G5">
        <v>144</v>
      </c>
      <c r="H5">
        <v>144</v>
      </c>
      <c r="J5" s="2" t="s">
        <v>48</v>
      </c>
      <c r="K5">
        <v>3189</v>
      </c>
      <c r="L5">
        <v>45.7</v>
      </c>
      <c r="M5">
        <v>40</v>
      </c>
      <c r="O5">
        <v>100</v>
      </c>
      <c r="P5">
        <v>153</v>
      </c>
      <c r="Q5">
        <v>100</v>
      </c>
      <c r="R5">
        <v>232</v>
      </c>
    </row>
    <row r="6" spans="1:18" ht="16.5" customHeight="1">
      <c r="A6" s="2" t="s">
        <v>57</v>
      </c>
      <c r="B6">
        <v>3189</v>
      </c>
      <c r="C6">
        <v>59</v>
      </c>
      <c r="E6">
        <v>144</v>
      </c>
      <c r="F6">
        <v>144</v>
      </c>
      <c r="G6">
        <v>144</v>
      </c>
      <c r="H6">
        <v>144</v>
      </c>
      <c r="J6" s="2" t="s">
        <v>56</v>
      </c>
      <c r="K6">
        <v>3189</v>
      </c>
      <c r="L6">
        <v>51.2</v>
      </c>
      <c r="M6">
        <v>40</v>
      </c>
      <c r="O6">
        <v>100</v>
      </c>
      <c r="P6">
        <v>154</v>
      </c>
      <c r="Q6">
        <v>100</v>
      </c>
      <c r="R6">
        <v>235</v>
      </c>
    </row>
    <row r="8" spans="1:18" ht="16.5" customHeight="1">
      <c r="A8" s="2" t="s">
        <v>5</v>
      </c>
      <c r="B8" s="2" t="s">
        <v>15</v>
      </c>
      <c r="C8" s="2" t="s">
        <v>84</v>
      </c>
      <c r="D8" s="2" t="s">
        <v>85</v>
      </c>
      <c r="E8" s="2" t="s">
        <v>86</v>
      </c>
      <c r="F8" s="2" t="s">
        <v>87</v>
      </c>
      <c r="G8" s="2" t="s">
        <v>88</v>
      </c>
      <c r="H8" s="2" t="s">
        <v>89</v>
      </c>
      <c r="J8" s="2" t="s">
        <v>10</v>
      </c>
      <c r="K8" s="2" t="s">
        <v>15</v>
      </c>
      <c r="L8" s="2" t="s">
        <v>84</v>
      </c>
      <c r="M8" s="2" t="s">
        <v>85</v>
      </c>
      <c r="N8" s="2" t="s">
        <v>90</v>
      </c>
      <c r="O8" s="2" t="s">
        <v>86</v>
      </c>
      <c r="P8" s="2" t="s">
        <v>87</v>
      </c>
      <c r="Q8" s="2" t="s">
        <v>88</v>
      </c>
      <c r="R8" s="2" t="s">
        <v>89</v>
      </c>
    </row>
    <row r="9" spans="1:18" ht="16.5" customHeight="1">
      <c r="A9" s="2" t="s">
        <v>34</v>
      </c>
      <c r="B9">
        <v>2100</v>
      </c>
      <c r="C9">
        <v>65</v>
      </c>
      <c r="E9">
        <v>132</v>
      </c>
      <c r="F9">
        <v>132</v>
      </c>
      <c r="G9">
        <v>132</v>
      </c>
      <c r="H9">
        <v>132</v>
      </c>
      <c r="J9" s="2" t="s">
        <v>34</v>
      </c>
      <c r="K9">
        <v>2100</v>
      </c>
      <c r="L9">
        <v>40</v>
      </c>
      <c r="M9">
        <v>40</v>
      </c>
      <c r="O9">
        <v>172</v>
      </c>
      <c r="P9">
        <v>172</v>
      </c>
      <c r="Q9">
        <v>100</v>
      </c>
      <c r="R9">
        <v>100</v>
      </c>
    </row>
    <row r="10" spans="1:18" ht="16.5" customHeight="1">
      <c r="A10" s="2" t="s">
        <v>33</v>
      </c>
      <c r="B10">
        <v>3189</v>
      </c>
      <c r="C10" s="7">
        <v>68.3</v>
      </c>
      <c r="E10">
        <v>133</v>
      </c>
      <c r="F10">
        <v>133</v>
      </c>
      <c r="G10">
        <v>133</v>
      </c>
      <c r="H10">
        <v>133</v>
      </c>
      <c r="J10" s="2" t="s">
        <v>33</v>
      </c>
      <c r="K10">
        <v>3189</v>
      </c>
      <c r="L10">
        <v>42.8</v>
      </c>
      <c r="M10">
        <v>40</v>
      </c>
      <c r="O10">
        <v>175</v>
      </c>
      <c r="P10">
        <v>175</v>
      </c>
      <c r="Q10">
        <v>100</v>
      </c>
      <c r="R10">
        <v>100</v>
      </c>
    </row>
    <row r="11" spans="1:18" ht="16.5" customHeight="1">
      <c r="A11" s="2" t="s">
        <v>41</v>
      </c>
      <c r="B11">
        <v>3189</v>
      </c>
      <c r="C11">
        <v>70</v>
      </c>
      <c r="E11">
        <v>134</v>
      </c>
      <c r="F11">
        <v>134</v>
      </c>
      <c r="G11">
        <v>134</v>
      </c>
      <c r="H11">
        <v>134</v>
      </c>
      <c r="J11" s="2" t="s">
        <v>41</v>
      </c>
      <c r="K11">
        <v>3189</v>
      </c>
      <c r="L11">
        <v>44.3</v>
      </c>
      <c r="M11">
        <v>40</v>
      </c>
      <c r="O11">
        <v>177</v>
      </c>
      <c r="P11">
        <v>177</v>
      </c>
      <c r="Q11">
        <v>100</v>
      </c>
      <c r="R11">
        <v>100</v>
      </c>
    </row>
    <row r="12" spans="1:18" ht="16.5" customHeight="1">
      <c r="A12" s="2" t="s">
        <v>48</v>
      </c>
      <c r="B12">
        <v>3189</v>
      </c>
      <c r="C12">
        <v>71.7</v>
      </c>
      <c r="E12">
        <v>135</v>
      </c>
      <c r="F12">
        <v>135</v>
      </c>
      <c r="G12">
        <v>135</v>
      </c>
      <c r="H12">
        <v>135</v>
      </c>
      <c r="J12" s="2" t="s">
        <v>48</v>
      </c>
      <c r="K12">
        <v>3189</v>
      </c>
      <c r="L12">
        <v>45.7</v>
      </c>
      <c r="M12">
        <v>40</v>
      </c>
      <c r="O12">
        <v>179</v>
      </c>
      <c r="P12">
        <v>179</v>
      </c>
      <c r="Q12">
        <v>100</v>
      </c>
      <c r="R12">
        <v>100</v>
      </c>
    </row>
    <row r="13" spans="1:18" ht="16.5" customHeight="1">
      <c r="A13" s="2" t="s">
        <v>57</v>
      </c>
      <c r="B13">
        <v>3189</v>
      </c>
      <c r="C13">
        <v>74.8</v>
      </c>
      <c r="E13">
        <v>135</v>
      </c>
      <c r="F13">
        <v>135</v>
      </c>
      <c r="G13">
        <v>135</v>
      </c>
      <c r="H13">
        <v>135</v>
      </c>
      <c r="J13" s="2" t="s">
        <v>56</v>
      </c>
      <c r="K13">
        <v>3189</v>
      </c>
      <c r="L13">
        <v>51.2</v>
      </c>
      <c r="M13">
        <v>40</v>
      </c>
      <c r="O13">
        <v>180</v>
      </c>
      <c r="P13">
        <v>180</v>
      </c>
      <c r="Q13">
        <v>100</v>
      </c>
      <c r="R13">
        <v>100</v>
      </c>
    </row>
    <row r="15" spans="1:18" ht="16.5" customHeight="1">
      <c r="A15" s="2" t="s">
        <v>6</v>
      </c>
      <c r="B15" s="2" t="s">
        <v>15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89</v>
      </c>
      <c r="J15" s="2" t="s">
        <v>11</v>
      </c>
      <c r="K15" s="2" t="s">
        <v>15</v>
      </c>
      <c r="L15" s="2" t="s">
        <v>84</v>
      </c>
      <c r="M15" s="2" t="s">
        <v>85</v>
      </c>
      <c r="N15" s="2" t="s">
        <v>90</v>
      </c>
      <c r="O15" s="2" t="s">
        <v>86</v>
      </c>
      <c r="P15" s="2" t="s">
        <v>87</v>
      </c>
      <c r="Q15" s="2" t="s">
        <v>88</v>
      </c>
      <c r="R15" s="2" t="s">
        <v>89</v>
      </c>
    </row>
    <row r="16" spans="1:18" ht="16.5" customHeight="1">
      <c r="A16" s="2" t="s">
        <v>34</v>
      </c>
      <c r="B16">
        <v>2100</v>
      </c>
      <c r="C16">
        <v>50</v>
      </c>
      <c r="E16">
        <v>140</v>
      </c>
      <c r="F16">
        <v>140</v>
      </c>
      <c r="G16">
        <v>140</v>
      </c>
      <c r="H16">
        <v>140</v>
      </c>
      <c r="J16" s="2" t="s">
        <v>34</v>
      </c>
      <c r="K16">
        <v>2100</v>
      </c>
      <c r="L16">
        <v>50</v>
      </c>
      <c r="M16">
        <v>50</v>
      </c>
      <c r="O16">
        <v>149</v>
      </c>
      <c r="P16">
        <v>100</v>
      </c>
      <c r="Q16" s="6">
        <v>220</v>
      </c>
      <c r="R16" s="6">
        <v>100</v>
      </c>
    </row>
    <row r="17" spans="1:18" ht="16.5" customHeight="1">
      <c r="A17" s="2" t="s">
        <v>33</v>
      </c>
      <c r="B17">
        <v>3189</v>
      </c>
      <c r="C17" s="7">
        <v>53</v>
      </c>
      <c r="E17">
        <v>142</v>
      </c>
      <c r="F17">
        <v>142</v>
      </c>
      <c r="G17">
        <v>142</v>
      </c>
      <c r="H17">
        <v>142</v>
      </c>
      <c r="J17" s="2" t="s">
        <v>33</v>
      </c>
      <c r="K17">
        <v>3189</v>
      </c>
      <c r="L17">
        <v>53</v>
      </c>
      <c r="M17">
        <v>50</v>
      </c>
      <c r="O17">
        <v>151</v>
      </c>
      <c r="P17">
        <v>100</v>
      </c>
      <c r="Q17" s="6">
        <v>226</v>
      </c>
      <c r="R17" s="6">
        <v>100</v>
      </c>
    </row>
    <row r="18" spans="1:18" ht="16.5" customHeight="1">
      <c r="A18" s="2" t="s">
        <v>41</v>
      </c>
      <c r="B18">
        <v>3189</v>
      </c>
      <c r="C18">
        <v>54.6</v>
      </c>
      <c r="E18">
        <v>143</v>
      </c>
      <c r="F18">
        <v>143</v>
      </c>
      <c r="G18">
        <v>143</v>
      </c>
      <c r="H18">
        <v>143</v>
      </c>
      <c r="J18" s="2" t="s">
        <v>41</v>
      </c>
      <c r="K18">
        <v>3189</v>
      </c>
      <c r="L18">
        <v>54.6</v>
      </c>
      <c r="M18">
        <v>50</v>
      </c>
      <c r="O18">
        <v>152</v>
      </c>
      <c r="P18">
        <v>100</v>
      </c>
      <c r="Q18" s="6">
        <v>229</v>
      </c>
      <c r="R18" s="6">
        <v>100</v>
      </c>
    </row>
    <row r="19" spans="1:18" ht="16.5" customHeight="1">
      <c r="A19" s="2" t="s">
        <v>48</v>
      </c>
      <c r="B19">
        <v>3189</v>
      </c>
      <c r="C19">
        <v>56.1</v>
      </c>
      <c r="E19">
        <v>144</v>
      </c>
      <c r="F19">
        <v>144</v>
      </c>
      <c r="G19">
        <v>144</v>
      </c>
      <c r="H19">
        <v>144</v>
      </c>
      <c r="J19" s="2" t="s">
        <v>48</v>
      </c>
      <c r="K19">
        <v>3189</v>
      </c>
      <c r="L19">
        <v>56.1</v>
      </c>
      <c r="M19">
        <v>50</v>
      </c>
      <c r="O19">
        <v>153</v>
      </c>
      <c r="P19">
        <v>100</v>
      </c>
      <c r="Q19" s="6">
        <v>232</v>
      </c>
      <c r="R19" s="6">
        <v>100</v>
      </c>
    </row>
    <row r="20" spans="1:18" ht="16.5" customHeight="1">
      <c r="A20" s="2" t="s">
        <v>57</v>
      </c>
      <c r="B20">
        <v>3189</v>
      </c>
      <c r="C20">
        <v>59</v>
      </c>
      <c r="E20">
        <v>144</v>
      </c>
      <c r="F20">
        <v>144</v>
      </c>
      <c r="G20">
        <v>144</v>
      </c>
      <c r="H20">
        <v>144</v>
      </c>
      <c r="J20" s="2" t="s">
        <v>56</v>
      </c>
      <c r="K20">
        <v>3189</v>
      </c>
      <c r="L20">
        <v>59</v>
      </c>
      <c r="M20">
        <v>50</v>
      </c>
      <c r="O20">
        <v>154</v>
      </c>
      <c r="P20">
        <v>100</v>
      </c>
      <c r="Q20" s="6">
        <v>235</v>
      </c>
      <c r="R20" s="6">
        <v>100</v>
      </c>
    </row>
    <row r="22" spans="1:18" ht="16.5" customHeight="1">
      <c r="A22" s="2" t="s">
        <v>7</v>
      </c>
      <c r="B22" s="2" t="s">
        <v>15</v>
      </c>
      <c r="C22" s="2" t="s">
        <v>84</v>
      </c>
      <c r="D22" s="2" t="s">
        <v>85</v>
      </c>
      <c r="E22" s="2" t="s">
        <v>86</v>
      </c>
      <c r="F22" s="2" t="s">
        <v>87</v>
      </c>
      <c r="G22" s="2" t="s">
        <v>88</v>
      </c>
      <c r="H22" s="2" t="s">
        <v>89</v>
      </c>
      <c r="J22" s="2" t="s">
        <v>12</v>
      </c>
      <c r="K22" s="2" t="s">
        <v>15</v>
      </c>
      <c r="L22" s="2" t="s">
        <v>84</v>
      </c>
      <c r="M22" s="2" t="s">
        <v>85</v>
      </c>
      <c r="N22" s="2" t="s">
        <v>90</v>
      </c>
      <c r="O22" s="2" t="s">
        <v>86</v>
      </c>
      <c r="P22" s="2" t="s">
        <v>87</v>
      </c>
      <c r="Q22" s="2" t="s">
        <v>88</v>
      </c>
      <c r="R22" s="2" t="s">
        <v>89</v>
      </c>
    </row>
    <row r="23" spans="1:18" ht="16.5" customHeight="1">
      <c r="A23" s="2" t="s">
        <v>34</v>
      </c>
      <c r="B23">
        <v>2100</v>
      </c>
      <c r="C23">
        <v>60</v>
      </c>
      <c r="E23">
        <v>124</v>
      </c>
      <c r="F23">
        <v>124</v>
      </c>
      <c r="G23">
        <v>124</v>
      </c>
      <c r="H23">
        <v>124</v>
      </c>
      <c r="J23" s="2" t="s">
        <v>34</v>
      </c>
      <c r="K23">
        <v>2100</v>
      </c>
      <c r="L23">
        <v>40</v>
      </c>
      <c r="O23">
        <v>147</v>
      </c>
      <c r="P23">
        <v>147</v>
      </c>
      <c r="Q23">
        <v>147</v>
      </c>
      <c r="R23">
        <v>147</v>
      </c>
    </row>
    <row r="24" spans="1:18" ht="16.5" customHeight="1">
      <c r="A24" s="2" t="s">
        <v>33</v>
      </c>
      <c r="B24">
        <v>3189</v>
      </c>
      <c r="C24">
        <v>63.2</v>
      </c>
      <c r="E24">
        <v>125</v>
      </c>
      <c r="F24">
        <v>125</v>
      </c>
      <c r="G24">
        <v>125</v>
      </c>
      <c r="H24">
        <v>125</v>
      </c>
      <c r="J24" s="2" t="s">
        <v>33</v>
      </c>
      <c r="K24">
        <v>3189</v>
      </c>
      <c r="L24">
        <v>42.8</v>
      </c>
      <c r="O24">
        <v>150</v>
      </c>
      <c r="P24">
        <v>150</v>
      </c>
      <c r="Q24">
        <v>150</v>
      </c>
      <c r="R24">
        <v>150</v>
      </c>
    </row>
    <row r="25" spans="1:18" ht="16.5" customHeight="1">
      <c r="A25" s="2" t="s">
        <v>41</v>
      </c>
      <c r="B25">
        <v>3189</v>
      </c>
      <c r="C25">
        <v>64.900000000000006</v>
      </c>
      <c r="E25">
        <v>126</v>
      </c>
      <c r="F25">
        <v>126</v>
      </c>
      <c r="G25">
        <v>126</v>
      </c>
      <c r="H25">
        <v>126</v>
      </c>
      <c r="J25" s="2" t="s">
        <v>41</v>
      </c>
      <c r="K25">
        <v>3189</v>
      </c>
      <c r="L25">
        <v>44.3</v>
      </c>
      <c r="O25">
        <v>151</v>
      </c>
      <c r="P25">
        <v>151</v>
      </c>
      <c r="Q25">
        <v>151</v>
      </c>
      <c r="R25">
        <v>151</v>
      </c>
    </row>
    <row r="26" spans="1:18" ht="16.5" customHeight="1">
      <c r="A26" s="2" t="s">
        <v>48</v>
      </c>
      <c r="B26">
        <v>3189</v>
      </c>
      <c r="C26">
        <v>66.5</v>
      </c>
      <c r="E26">
        <v>127</v>
      </c>
      <c r="F26">
        <v>127</v>
      </c>
      <c r="G26">
        <v>127</v>
      </c>
      <c r="H26">
        <v>127</v>
      </c>
      <c r="J26" s="2" t="s">
        <v>48</v>
      </c>
      <c r="K26">
        <v>3189</v>
      </c>
      <c r="L26">
        <v>45.7</v>
      </c>
      <c r="O26">
        <v>152</v>
      </c>
      <c r="P26">
        <v>152</v>
      </c>
      <c r="Q26">
        <v>152</v>
      </c>
      <c r="R26">
        <v>152</v>
      </c>
    </row>
    <row r="27" spans="1:18" ht="16.5" customHeight="1">
      <c r="A27" s="2" t="s">
        <v>57</v>
      </c>
      <c r="B27">
        <v>3189</v>
      </c>
      <c r="C27">
        <v>69.900000000000006</v>
      </c>
      <c r="E27">
        <v>127</v>
      </c>
      <c r="F27">
        <v>127</v>
      </c>
      <c r="G27">
        <v>127</v>
      </c>
      <c r="H27">
        <v>127</v>
      </c>
      <c r="J27" s="2"/>
    </row>
    <row r="29" spans="1:18" ht="16.5" customHeight="1">
      <c r="A29" s="2" t="s">
        <v>8</v>
      </c>
      <c r="B29" s="2" t="s">
        <v>15</v>
      </c>
      <c r="C29" s="2" t="s">
        <v>84</v>
      </c>
      <c r="D29" s="2" t="s">
        <v>85</v>
      </c>
      <c r="E29" s="2" t="s">
        <v>86</v>
      </c>
      <c r="F29" s="2" t="s">
        <v>87</v>
      </c>
      <c r="G29" s="2" t="s">
        <v>88</v>
      </c>
      <c r="H29" s="2" t="s">
        <v>89</v>
      </c>
      <c r="J29" s="2" t="s">
        <v>13</v>
      </c>
      <c r="K29" s="2" t="s">
        <v>15</v>
      </c>
      <c r="L29" s="2" t="s">
        <v>84</v>
      </c>
      <c r="M29" s="2" t="s">
        <v>85</v>
      </c>
      <c r="N29" s="2" t="s">
        <v>90</v>
      </c>
      <c r="O29" s="2" t="s">
        <v>86</v>
      </c>
      <c r="P29" s="2" t="s">
        <v>87</v>
      </c>
      <c r="Q29" s="2" t="s">
        <v>88</v>
      </c>
      <c r="R29" s="2" t="s">
        <v>89</v>
      </c>
    </row>
    <row r="30" spans="1:18" ht="16.5" customHeight="1">
      <c r="A30" s="2" t="s">
        <v>34</v>
      </c>
      <c r="B30">
        <v>2100</v>
      </c>
      <c r="C30">
        <v>50</v>
      </c>
      <c r="E30">
        <v>124</v>
      </c>
      <c r="F30">
        <v>124</v>
      </c>
      <c r="G30">
        <v>124</v>
      </c>
      <c r="H30">
        <v>124</v>
      </c>
      <c r="J30" s="2" t="s">
        <v>34</v>
      </c>
      <c r="K30">
        <v>2100</v>
      </c>
      <c r="L30">
        <v>30</v>
      </c>
      <c r="N30">
        <v>15</v>
      </c>
      <c r="O30">
        <v>171</v>
      </c>
      <c r="P30">
        <v>171</v>
      </c>
      <c r="Q30">
        <v>171</v>
      </c>
      <c r="R30">
        <v>171</v>
      </c>
    </row>
    <row r="31" spans="1:18" ht="16.5" customHeight="1">
      <c r="A31" s="2" t="s">
        <v>33</v>
      </c>
      <c r="B31">
        <v>3189</v>
      </c>
      <c r="C31">
        <v>53</v>
      </c>
      <c r="E31">
        <v>125</v>
      </c>
      <c r="F31">
        <v>125</v>
      </c>
      <c r="G31">
        <v>125</v>
      </c>
      <c r="H31">
        <v>125</v>
      </c>
      <c r="J31" s="2" t="s">
        <v>33</v>
      </c>
      <c r="K31">
        <v>3189</v>
      </c>
      <c r="L31">
        <v>32.6</v>
      </c>
      <c r="N31">
        <v>15</v>
      </c>
      <c r="O31">
        <v>174</v>
      </c>
      <c r="P31">
        <v>174</v>
      </c>
      <c r="Q31">
        <v>174</v>
      </c>
      <c r="R31">
        <v>174</v>
      </c>
    </row>
    <row r="32" spans="1:18" ht="16.5" customHeight="1">
      <c r="A32" s="2" t="s">
        <v>41</v>
      </c>
      <c r="B32">
        <v>3189</v>
      </c>
      <c r="C32">
        <v>54.6</v>
      </c>
      <c r="E32">
        <v>126</v>
      </c>
      <c r="F32">
        <v>126</v>
      </c>
      <c r="G32">
        <v>126</v>
      </c>
      <c r="H32">
        <v>126</v>
      </c>
      <c r="J32" s="2" t="s">
        <v>41</v>
      </c>
      <c r="K32">
        <v>3189</v>
      </c>
      <c r="L32">
        <v>34</v>
      </c>
      <c r="N32">
        <v>15</v>
      </c>
      <c r="O32">
        <v>176</v>
      </c>
      <c r="P32">
        <v>176</v>
      </c>
      <c r="Q32">
        <v>176</v>
      </c>
      <c r="R32">
        <v>176</v>
      </c>
    </row>
    <row r="33" spans="1:18" ht="16.5" customHeight="1">
      <c r="A33" s="2" t="s">
        <v>48</v>
      </c>
      <c r="B33">
        <v>3189</v>
      </c>
      <c r="C33">
        <v>56.1</v>
      </c>
      <c r="E33">
        <v>127</v>
      </c>
      <c r="F33">
        <v>127</v>
      </c>
      <c r="G33">
        <v>127</v>
      </c>
      <c r="H33">
        <v>127</v>
      </c>
      <c r="J33" s="2" t="s">
        <v>48</v>
      </c>
      <c r="K33">
        <v>3189</v>
      </c>
      <c r="L33">
        <v>35.299999999999997</v>
      </c>
      <c r="N33">
        <v>15</v>
      </c>
      <c r="O33">
        <v>178</v>
      </c>
      <c r="P33">
        <v>178</v>
      </c>
      <c r="Q33">
        <v>178</v>
      </c>
      <c r="R33">
        <v>178</v>
      </c>
    </row>
    <row r="34" spans="1:18" ht="16.5" customHeight="1">
      <c r="A34" s="2" t="s">
        <v>57</v>
      </c>
      <c r="B34">
        <v>3189</v>
      </c>
      <c r="C34">
        <v>59</v>
      </c>
      <c r="E34">
        <v>127</v>
      </c>
      <c r="F34">
        <v>127</v>
      </c>
      <c r="G34">
        <v>127</v>
      </c>
      <c r="H34">
        <v>127</v>
      </c>
      <c r="J34" s="2"/>
    </row>
    <row r="36" spans="1:18" ht="16.5" customHeight="1">
      <c r="J36" s="2" t="s">
        <v>14</v>
      </c>
      <c r="K36" s="2" t="s">
        <v>15</v>
      </c>
      <c r="L36" s="2" t="s">
        <v>84</v>
      </c>
      <c r="M36" s="2" t="s">
        <v>85</v>
      </c>
      <c r="N36" s="2" t="s">
        <v>90</v>
      </c>
      <c r="O36" s="2" t="s">
        <v>86</v>
      </c>
      <c r="P36" s="2" t="s">
        <v>87</v>
      </c>
      <c r="Q36" s="2" t="s">
        <v>88</v>
      </c>
      <c r="R36" s="2" t="s">
        <v>89</v>
      </c>
    </row>
    <row r="37" spans="1:18" ht="16.5" customHeight="1">
      <c r="J37" s="2" t="s">
        <v>34</v>
      </c>
      <c r="K37">
        <v>2100</v>
      </c>
      <c r="L37">
        <v>40</v>
      </c>
      <c r="O37">
        <v>171</v>
      </c>
      <c r="P37">
        <v>171</v>
      </c>
      <c r="Q37">
        <v>171</v>
      </c>
      <c r="R37">
        <v>171</v>
      </c>
    </row>
    <row r="38" spans="1:18" ht="16.5" customHeight="1">
      <c r="J38" s="2" t="s">
        <v>33</v>
      </c>
      <c r="K38">
        <v>3189</v>
      </c>
      <c r="L38">
        <v>53</v>
      </c>
      <c r="O38">
        <v>174</v>
      </c>
      <c r="P38">
        <v>174</v>
      </c>
      <c r="Q38">
        <v>174</v>
      </c>
      <c r="R38">
        <v>174</v>
      </c>
    </row>
    <row r="39" spans="1:18" ht="16.5" customHeight="1">
      <c r="J39" s="2" t="s">
        <v>41</v>
      </c>
      <c r="K39">
        <v>3189</v>
      </c>
      <c r="L39">
        <v>54.6</v>
      </c>
      <c r="O39">
        <v>226</v>
      </c>
      <c r="P39">
        <v>226</v>
      </c>
      <c r="Q39">
        <v>226</v>
      </c>
      <c r="R39">
        <v>226</v>
      </c>
    </row>
    <row r="40" spans="1:18" ht="16.5" customHeight="1">
      <c r="J40" s="2" t="s">
        <v>48</v>
      </c>
      <c r="K40">
        <v>3189</v>
      </c>
      <c r="L40">
        <v>56.1</v>
      </c>
      <c r="O40">
        <v>278</v>
      </c>
      <c r="P40">
        <v>278</v>
      </c>
      <c r="Q40">
        <v>278</v>
      </c>
      <c r="R40">
        <v>278</v>
      </c>
    </row>
    <row r="41" spans="1:18" ht="16.5" customHeight="1">
      <c r="F41" s="2"/>
    </row>
    <row r="42" spans="1:18" ht="16.5" customHeight="1">
      <c r="B42" s="2" t="s">
        <v>91</v>
      </c>
    </row>
    <row r="43" spans="1:18" ht="16.5" customHeight="1">
      <c r="A43" s="2" t="s">
        <v>34</v>
      </c>
      <c r="B43">
        <v>65</v>
      </c>
    </row>
    <row r="44" spans="1:18" ht="16.5" customHeight="1">
      <c r="A44" s="2" t="s">
        <v>33</v>
      </c>
      <c r="B44">
        <v>115</v>
      </c>
    </row>
    <row r="45" spans="1:18" ht="16.5" customHeight="1">
      <c r="A45" s="2" t="s">
        <v>41</v>
      </c>
      <c r="B45">
        <v>165</v>
      </c>
    </row>
    <row r="46" spans="1:18" ht="16.5" customHeight="1">
      <c r="A46" s="2" t="s">
        <v>48</v>
      </c>
      <c r="B46">
        <v>215</v>
      </c>
    </row>
    <row r="47" spans="1:18" ht="16.5" customHeight="1">
      <c r="A47" s="2" t="s">
        <v>57</v>
      </c>
      <c r="B47">
        <v>235</v>
      </c>
    </row>
    <row r="48" spans="1:18" ht="16.5" customHeight="1">
      <c r="A48" s="2" t="s">
        <v>56</v>
      </c>
      <c r="B48">
        <v>265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>
      <pane ySplit="1" topLeftCell="A2" activePane="bottomLeft" state="frozen"/>
      <selection pane="bottomLeft" activeCell="C33" sqref="C33"/>
    </sheetView>
  </sheetViews>
  <sheetFormatPr defaultRowHeight="15"/>
  <cols>
    <col min="1" max="4" width="18" customWidth="1"/>
    <col min="5" max="6" width="12" customWidth="1"/>
    <col min="7" max="7" width="10" customWidth="1"/>
    <col min="8" max="8" width="24" customWidth="1"/>
  </cols>
  <sheetData>
    <row r="1" spans="1:8" ht="16.5" customHeight="1">
      <c r="A1" s="1" t="s">
        <v>92</v>
      </c>
      <c r="B1" s="3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 ht="16.5" customHeight="1">
      <c r="A2" s="2" t="s">
        <v>34</v>
      </c>
      <c r="B2" s="2">
        <v>750</v>
      </c>
      <c r="C2">
        <v>17</v>
      </c>
      <c r="D2">
        <v>0</v>
      </c>
      <c r="E2">
        <v>3300</v>
      </c>
      <c r="F2">
        <v>0</v>
      </c>
      <c r="G2">
        <v>1650</v>
      </c>
    </row>
    <row r="3" spans="1:8" ht="16.5" customHeight="1">
      <c r="A3" s="2" t="s">
        <v>33</v>
      </c>
      <c r="B3" s="2">
        <v>1200</v>
      </c>
      <c r="C3">
        <v>28</v>
      </c>
      <c r="D3">
        <v>18.5</v>
      </c>
      <c r="E3">
        <v>5060</v>
      </c>
      <c r="F3">
        <v>15</v>
      </c>
      <c r="G3">
        <v>2530</v>
      </c>
    </row>
    <row r="4" spans="1:8" ht="16.5" customHeight="1">
      <c r="A4" s="2" t="s">
        <v>41</v>
      </c>
      <c r="B4" s="2">
        <v>1650</v>
      </c>
      <c r="C4">
        <v>39</v>
      </c>
      <c r="D4">
        <v>18.5</v>
      </c>
      <c r="E4">
        <v>6720</v>
      </c>
      <c r="F4">
        <v>15</v>
      </c>
      <c r="G4">
        <v>3360</v>
      </c>
    </row>
    <row r="5" spans="1:8" ht="16.5" customHeight="1">
      <c r="A5" s="2" t="s">
        <v>48</v>
      </c>
      <c r="B5" s="2">
        <v>2100</v>
      </c>
      <c r="C5">
        <v>50</v>
      </c>
      <c r="D5">
        <v>18.5</v>
      </c>
      <c r="E5">
        <v>8210</v>
      </c>
      <c r="F5">
        <v>15</v>
      </c>
      <c r="G5">
        <v>4105</v>
      </c>
    </row>
    <row r="6" spans="1:8" ht="16.5" customHeight="1">
      <c r="A6" s="2" t="s">
        <v>56</v>
      </c>
      <c r="B6" s="2">
        <v>2550</v>
      </c>
      <c r="C6">
        <v>62</v>
      </c>
      <c r="D6">
        <v>18.5</v>
      </c>
      <c r="E6">
        <v>9700</v>
      </c>
      <c r="F6">
        <v>15</v>
      </c>
      <c r="G6">
        <v>4850</v>
      </c>
    </row>
  </sheetData>
  <autoFilter ref="A1:H6" xr:uid="{00000000-0009-0000-0000-000005000000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E28" sqref="E28"/>
    </sheetView>
  </sheetViews>
  <sheetFormatPr defaultRowHeight="15"/>
  <cols>
    <col min="1" max="1" width="16.5703125" bestFit="1" customWidth="1"/>
    <col min="2" max="2" width="20.85546875" bestFit="1" customWidth="1"/>
    <col min="3" max="3" width="17" bestFit="1" customWidth="1"/>
    <col min="4" max="4" width="6" bestFit="1" customWidth="1"/>
  </cols>
  <sheetData>
    <row r="1" spans="1:4" ht="16.5" customHeight="1">
      <c r="A1" s="3" t="s">
        <v>68</v>
      </c>
      <c r="B1" s="1" t="s">
        <v>94</v>
      </c>
      <c r="C1" s="3" t="s">
        <v>100</v>
      </c>
      <c r="D1" s="1" t="s">
        <v>98</v>
      </c>
    </row>
    <row r="2" spans="1:4" ht="16.5" customHeight="1">
      <c r="A2" s="2" t="s">
        <v>33</v>
      </c>
      <c r="B2">
        <v>38</v>
      </c>
      <c r="C2">
        <v>298</v>
      </c>
      <c r="D2">
        <v>5015</v>
      </c>
    </row>
    <row r="3" spans="1:4" ht="16.5" customHeight="1">
      <c r="A3" s="2" t="s">
        <v>41</v>
      </c>
      <c r="B3">
        <v>44</v>
      </c>
      <c r="C3">
        <v>350</v>
      </c>
      <c r="D3">
        <v>5455</v>
      </c>
    </row>
    <row r="4" spans="1:4" ht="16.5" customHeight="1">
      <c r="A4" s="2" t="s">
        <v>48</v>
      </c>
      <c r="B4">
        <v>50</v>
      </c>
      <c r="C4">
        <v>400</v>
      </c>
      <c r="D4">
        <v>5875</v>
      </c>
    </row>
    <row r="5" spans="1:4" ht="16.5" customHeight="1">
      <c r="A5" s="2" t="s">
        <v>56</v>
      </c>
      <c r="B5">
        <v>57</v>
      </c>
      <c r="C5">
        <v>450</v>
      </c>
      <c r="D5">
        <v>6315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"/>
  <sheetViews>
    <sheetView workbookViewId="0">
      <selection activeCell="A36" sqref="A36"/>
    </sheetView>
  </sheetViews>
  <sheetFormatPr defaultRowHeight="15"/>
  <cols>
    <col min="1" max="1" width="90" customWidth="1"/>
  </cols>
  <sheetData>
    <row r="1" spans="1:1">
      <c r="A1" s="1" t="s">
        <v>101</v>
      </c>
    </row>
    <row r="2" spans="1:1">
      <c r="A2" t="s">
        <v>102</v>
      </c>
    </row>
    <row r="3" spans="1:1">
      <c r="A3" t="s">
        <v>103</v>
      </c>
    </row>
    <row r="4" spans="1:1">
      <c r="A4" t="s">
        <v>104</v>
      </c>
    </row>
    <row r="5" spans="1:1">
      <c r="A5" t="s">
        <v>105</v>
      </c>
    </row>
    <row r="7" spans="1:1">
      <c r="A7" s="1" t="s">
        <v>106</v>
      </c>
    </row>
    <row r="8" spans="1:1">
      <c r="A8" t="s">
        <v>107</v>
      </c>
    </row>
    <row r="9" spans="1:1">
      <c r="A9" t="s">
        <v>108</v>
      </c>
    </row>
    <row r="10" spans="1:1">
      <c r="A10" t="s">
        <v>109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pane ySplit="1" topLeftCell="A2" activePane="bottomLeft" state="frozen"/>
      <selection pane="bottomLeft" activeCell="I26" sqref="I26"/>
    </sheetView>
  </sheetViews>
  <sheetFormatPr defaultRowHeight="15"/>
  <cols>
    <col min="1" max="1" width="24" customWidth="1"/>
    <col min="2" max="2" width="18" customWidth="1"/>
    <col min="3" max="3" width="48" customWidth="1"/>
  </cols>
  <sheetData>
    <row r="1" spans="1:3" ht="15" customHeight="1">
      <c r="A1" s="1" t="s">
        <v>110</v>
      </c>
      <c r="B1" s="1" t="s">
        <v>111</v>
      </c>
      <c r="C1" s="1" t="s">
        <v>99</v>
      </c>
    </row>
    <row r="2" spans="1:3" ht="15" customHeight="1">
      <c r="A2" t="s">
        <v>60</v>
      </c>
      <c r="C2" t="s">
        <v>112</v>
      </c>
    </row>
    <row r="3" spans="1:3" ht="15" customHeight="1">
      <c r="A3" t="s">
        <v>113</v>
      </c>
      <c r="C3" t="s">
        <v>114</v>
      </c>
    </row>
    <row r="4" spans="1:3" ht="15" customHeight="1">
      <c r="A4" t="s">
        <v>115</v>
      </c>
      <c r="C4" t="s">
        <v>116</v>
      </c>
    </row>
    <row r="5" spans="1:3" ht="15" customHeight="1">
      <c r="A5" t="s">
        <v>117</v>
      </c>
      <c r="C5" t="s">
        <v>118</v>
      </c>
    </row>
    <row r="6" spans="1:3" ht="15" customHeight="1">
      <c r="A6" t="s">
        <v>119</v>
      </c>
      <c r="C6" t="s">
        <v>120</v>
      </c>
    </row>
    <row r="7" spans="1:3" ht="15" customHeight="1">
      <c r="A7" t="s">
        <v>121</v>
      </c>
      <c r="C7" t="s">
        <v>122</v>
      </c>
    </row>
    <row r="8" spans="1:3" ht="15" customHeight="1">
      <c r="A8" t="s">
        <v>123</v>
      </c>
      <c r="C8" t="s">
        <v>124</v>
      </c>
    </row>
    <row r="9" spans="1:3" ht="15" customHeight="1">
      <c r="A9" t="s">
        <v>125</v>
      </c>
      <c r="C9" t="s">
        <v>126</v>
      </c>
    </row>
    <row r="10" spans="1:3" ht="15" customHeight="1">
      <c r="A10" t="s">
        <v>127</v>
      </c>
      <c r="C10" t="s">
        <v>128</v>
      </c>
    </row>
    <row r="11" spans="1:3" ht="15" customHeight="1">
      <c r="A11" t="s">
        <v>129</v>
      </c>
      <c r="B11">
        <v>1</v>
      </c>
      <c r="C11" t="s">
        <v>130</v>
      </c>
    </row>
  </sheetData>
  <autoFilter ref="A1:C11" xr:uid="{00000000-0009-0000-0000-000008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11</vt:i4>
      </vt:variant>
    </vt:vector>
  </HeadingPairs>
  <TitlesOfParts>
    <vt:vector size="20" baseType="lpstr">
      <vt:lpstr>장비 세트 단계</vt:lpstr>
      <vt:lpstr>서약 세트 단계</vt:lpstr>
      <vt:lpstr>무기</vt:lpstr>
      <vt:lpstr>장비 등급별 옵션</vt:lpstr>
      <vt:lpstr>무기 등급별 옵션</vt:lpstr>
      <vt:lpstr>서약의 가호</vt:lpstr>
      <vt:lpstr>서약 등급별 최종데미지</vt:lpstr>
      <vt:lpstr>입력 규칙</vt:lpstr>
      <vt:lpstr>역산 기준</vt:lpstr>
      <vt:lpstr>Equip_Belt_Grades</vt:lpstr>
      <vt:lpstr>Equip_Bracelet_Grades</vt:lpstr>
      <vt:lpstr>Equip_Earring_Grades</vt:lpstr>
      <vt:lpstr>Equip_Jacket_Grades</vt:lpstr>
      <vt:lpstr>Equip_MagicStone_Grades</vt:lpstr>
      <vt:lpstr>Equip_Necklace_Grades</vt:lpstr>
      <vt:lpstr>Equip_Pants_Grades</vt:lpstr>
      <vt:lpstr>Equip_Ring_Grades</vt:lpstr>
      <vt:lpstr>Equip_Shoes_Grades</vt:lpstr>
      <vt:lpstr>Equip_Shoulder_Grades</vt:lpstr>
      <vt:lpstr>Equip_SubEquipment_Grades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양현석(2017182021)</cp:lastModifiedBy>
  <dcterms:created xsi:type="dcterms:W3CDTF">2026-05-08T09:18:50Z</dcterms:created>
  <dcterms:modified xsi:type="dcterms:W3CDTF">2026-08-07T08:26:48Z</dcterms:modified>
</cp:coreProperties>
</file>